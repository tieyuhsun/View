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M32H503-IO Expander" sheetId="1" r:id="rId5"/>
    <sheet state="visible" name="STM32H503V2" sheetId="2" r:id="rId6"/>
    <sheet state="visible" name="工作表2" sheetId="3" r:id="rId7"/>
    <sheet state="visible" name="FPGA-IO" sheetId="4" r:id="rId8"/>
    <sheet state="visible" name="NOVA-Panel-IO" sheetId="5" r:id="rId9"/>
    <sheet state="visible" name="工作表1" sheetId="6" r:id="rId10"/>
  </sheets>
  <definedNames/>
  <calcPr/>
</workbook>
</file>

<file path=xl/sharedStrings.xml><?xml version="1.0" encoding="utf-8"?>
<sst xmlns="http://schemas.openxmlformats.org/spreadsheetml/2006/main" count="1847" uniqueCount="693">
  <si>
    <t>Position</t>
  </si>
  <si>
    <t>Name</t>
  </si>
  <si>
    <t>Type</t>
  </si>
  <si>
    <t>Signal</t>
  </si>
  <si>
    <t>Label-SAVC</t>
  </si>
  <si>
    <t>NOVASTAR</t>
  </si>
  <si>
    <t>AF0</t>
  </si>
  <si>
    <t>AF1</t>
  </si>
  <si>
    <t>AF2</t>
  </si>
  <si>
    <t>AF3</t>
  </si>
  <si>
    <t>AF4</t>
  </si>
  <si>
    <t>AF5</t>
  </si>
  <si>
    <t>AF6</t>
  </si>
  <si>
    <t>AF7</t>
  </si>
  <si>
    <t>AF8</t>
  </si>
  <si>
    <t>AF9</t>
  </si>
  <si>
    <t>AF10</t>
  </si>
  <si>
    <t>AF11</t>
  </si>
  <si>
    <t>AF12</t>
  </si>
  <si>
    <t>AF13</t>
  </si>
  <si>
    <t>AF14</t>
  </si>
  <si>
    <t>AF15</t>
  </si>
  <si>
    <t>BOOT0</t>
  </si>
  <si>
    <t>Boot</t>
  </si>
  <si>
    <t>JATG-connect</t>
  </si>
  <si>
    <t>NRST</t>
  </si>
  <si>
    <t>Reset</t>
  </si>
  <si>
    <t>PA00</t>
  </si>
  <si>
    <t>I/O</t>
  </si>
  <si>
    <t>SPI3_NSS</t>
  </si>
  <si>
    <t>SPI3-RAM/ROM/PIN-O/PIN-I</t>
  </si>
  <si>
    <t>RTC_OUT2</t>
  </si>
  <si>
    <t>TIM2_CH1</t>
  </si>
  <si>
    <t>TIM3_CH1</t>
  </si>
  <si>
    <t>LPTIM2_ETR</t>
  </si>
  <si>
    <t>LPTIM1_ETR</t>
  </si>
  <si>
    <t>LPTIM1_IN2</t>
  </si>
  <si>
    <t>SPI3_RDY</t>
  </si>
  <si>
    <t>USART2_CTS/USART2_NSS</t>
  </si>
  <si>
    <t>USART1_CTS/USART1_NSS</t>
  </si>
  <si>
    <t>USART3_CTS/USART3_NSS</t>
  </si>
  <si>
    <t>I2S3_WS/SPI3_NSS</t>
  </si>
  <si>
    <t>I2S2_MCK</t>
  </si>
  <si>
    <t>I2S1_SDI/SPI1_MISO</t>
  </si>
  <si>
    <t>USART3_CK</t>
  </si>
  <si>
    <t>TIM2_ETR</t>
  </si>
  <si>
    <t>EVENTOUT</t>
  </si>
  <si>
    <t>PA01</t>
  </si>
  <si>
    <t>USART2_RTS</t>
  </si>
  <si>
    <t>UART2-FPGA</t>
  </si>
  <si>
    <t>TIM2_CH2</t>
  </si>
  <si>
    <t>I2S1_WS/SPI1_NSS</t>
  </si>
  <si>
    <t>LPTIM1_IN1</t>
  </si>
  <si>
    <t>I2S3_CK/SPI3_SCK</t>
  </si>
  <si>
    <t>USART2_DE/USART2_RTS</t>
  </si>
  <si>
    <t>USART1_RX</t>
  </si>
  <si>
    <t>USART2_CK</t>
  </si>
  <si>
    <t>SPI2_RDY</t>
  </si>
  <si>
    <t>TIM1_CH3</t>
  </si>
  <si>
    <t>PA02</t>
  </si>
  <si>
    <t>USART2_TX</t>
  </si>
  <si>
    <t>TIM2_CH3</t>
  </si>
  <si>
    <t>TIM3_ETR</t>
  </si>
  <si>
    <t>LPUART1_RX</t>
  </si>
  <si>
    <t>I2S1_CK/SPI1_SCK</t>
  </si>
  <si>
    <t>I2S3_SDI/SPI3_MISO</t>
  </si>
  <si>
    <t>USART1_TX</t>
  </si>
  <si>
    <t>TIM1_CH4</t>
  </si>
  <si>
    <t>PA03</t>
  </si>
  <si>
    <t>SPI1_MISO</t>
  </si>
  <si>
    <t>SPI1_MISO+RX</t>
  </si>
  <si>
    <t>NOVA-SPI+UART</t>
  </si>
  <si>
    <t>TIM2_CH4</t>
  </si>
  <si>
    <t>LPUART1_TX</t>
  </si>
  <si>
    <t>I2S2_WS/SPI2_NSS</t>
  </si>
  <si>
    <t>I2S3_SDO/SPI3_MOSI</t>
  </si>
  <si>
    <t>USART2_RX</t>
  </si>
  <si>
    <t>USART1_CK</t>
  </si>
  <si>
    <t>USART3_RX</t>
  </si>
  <si>
    <t>TIM1_CH1N</t>
  </si>
  <si>
    <t>PA04</t>
  </si>
  <si>
    <t>SPI1_MOSI</t>
  </si>
  <si>
    <t>SPI1_MOSI+TX</t>
  </si>
  <si>
    <t>TIM1_CH2N</t>
  </si>
  <si>
    <t>LPTIM2_CH1</t>
  </si>
  <si>
    <t>I2S1_SDO/SPI1_MOSI</t>
  </si>
  <si>
    <t>USART1_DE/USART1_RTS</t>
  </si>
  <si>
    <t>USART3_TX</t>
  </si>
  <si>
    <t>TIM1_BKIN</t>
  </si>
  <si>
    <t>PA05</t>
  </si>
  <si>
    <t>SPI1_SCK</t>
  </si>
  <si>
    <t>PWR_CSTOP</t>
  </si>
  <si>
    <t>LPTIM2_CH2</t>
  </si>
  <si>
    <t>LPTIM1_CH1</t>
  </si>
  <si>
    <t>I2S1_MCK</t>
  </si>
  <si>
    <t>I2S2_CK/SPI2_SCK</t>
  </si>
  <si>
    <t>LPUART1_DE/LPUART1_RTS</t>
  </si>
  <si>
    <t>PA06</t>
  </si>
  <si>
    <t>ADC1_INP3</t>
  </si>
  <si>
    <t>PA07</t>
  </si>
  <si>
    <t>USART1_RTS</t>
  </si>
  <si>
    <t>PWR_CSLEEP</t>
  </si>
  <si>
    <t>TIM3_CH2</t>
  </si>
  <si>
    <t>AUDIOCLK</t>
  </si>
  <si>
    <t>USART3_DE/USART3_RTS</t>
  </si>
  <si>
    <t>I2S3_MCK</t>
  </si>
  <si>
    <t>I2S2_SDI/SPI2_MISO</t>
  </si>
  <si>
    <t>PA08</t>
  </si>
  <si>
    <t>USB_SOF</t>
  </si>
  <si>
    <t>PWM</t>
  </si>
  <si>
    <t>RCC_MCO_1</t>
  </si>
  <si>
    <t>TIM1_CH1</t>
  </si>
  <si>
    <t>TIM3_CH3</t>
  </si>
  <si>
    <t>LPTIM2_IN1</t>
  </si>
  <si>
    <t>SPI1_RDY</t>
  </si>
  <si>
    <t>I2S2_SDO/SPI2_MOSI</t>
  </si>
  <si>
    <t>LPUART1_CTS</t>
  </si>
  <si>
    <t>FDCAN1_RX</t>
  </si>
  <si>
    <t>TIM1_CH4N</t>
  </si>
  <si>
    <t>PA09</t>
  </si>
  <si>
    <t>DEBUG_TRACED2</t>
  </si>
  <si>
    <t>TIM1_CH2</t>
  </si>
  <si>
    <t>PA10</t>
  </si>
  <si>
    <t>LPTIM2_IN2</t>
  </si>
  <si>
    <t>PA11</t>
  </si>
  <si>
    <t>USB_DM</t>
  </si>
  <si>
    <t>DEBUG_TRGIO</t>
  </si>
  <si>
    <t>PA12</t>
  </si>
  <si>
    <t>USB_DP</t>
  </si>
  <si>
    <t>DEBUG_TRACED3</t>
  </si>
  <si>
    <t>TIM1_ETR</t>
  </si>
  <si>
    <t>TIM3_CH4</t>
  </si>
  <si>
    <t>FDCAN1_TX</t>
  </si>
  <si>
    <t>PA13(JTMS/SWDIO)</t>
  </si>
  <si>
    <t>DEBUG_JTMS-SWDIO</t>
  </si>
  <si>
    <t>COMP1_OUT</t>
  </si>
  <si>
    <t>PA14(JTCK/SWCLK)</t>
  </si>
  <si>
    <t>DEBUG_JTCK-SWCLK</t>
  </si>
  <si>
    <t>PA15(JTDI)</t>
  </si>
  <si>
    <t>USART1_CTS</t>
  </si>
  <si>
    <t>DEBUG_JTDI</t>
  </si>
  <si>
    <t>PB0</t>
  </si>
  <si>
    <t>ADC1_INP9</t>
  </si>
  <si>
    <t>SPI2-FPGA/BOOT/CTRL+ADC done</t>
  </si>
  <si>
    <t>PB1</t>
  </si>
  <si>
    <t>SPI2_MOSI</t>
  </si>
  <si>
    <t>SPI2-FPGA</t>
  </si>
  <si>
    <t>TIM1_CH3N</t>
  </si>
  <si>
    <t>PB10</t>
  </si>
  <si>
    <t>I2C2_SCL</t>
  </si>
  <si>
    <t>PANEL-EE</t>
  </si>
  <si>
    <t>I3C1_SDA</t>
  </si>
  <si>
    <t>I3C2_SCL</t>
  </si>
  <si>
    <t>I2C1_SDA</t>
  </si>
  <si>
    <t>PB12</t>
  </si>
  <si>
    <t>SPI2_NSS</t>
  </si>
  <si>
    <t>SPI2-FPGA/BOOT/CTRL</t>
  </si>
  <si>
    <t>I2C2_SMBA</t>
  </si>
  <si>
    <t>PB13</t>
  </si>
  <si>
    <t>SPI2_SCK</t>
  </si>
  <si>
    <t>I2C2_SDA</t>
  </si>
  <si>
    <t>I3C2_SDA</t>
  </si>
  <si>
    <t>I2C1_SMBA</t>
  </si>
  <si>
    <t>PB14</t>
  </si>
  <si>
    <t>SPI2_MISO</t>
  </si>
  <si>
    <t>PB15</t>
  </si>
  <si>
    <t>RTC_REFIN</t>
  </si>
  <si>
    <t>PB2</t>
  </si>
  <si>
    <t>SPI3_MOSI</t>
  </si>
  <si>
    <t>SPI3</t>
  </si>
  <si>
    <t>LPTIM1_CH2</t>
  </si>
  <si>
    <t>PB3(JTDO/TRACESWO)</t>
  </si>
  <si>
    <t>DEBUG_JTDO-SWO</t>
  </si>
  <si>
    <t>CRS_SYNC</t>
  </si>
  <si>
    <t>PB4(NJTRST)</t>
  </si>
  <si>
    <t>SPI3_MISO</t>
  </si>
  <si>
    <t>DEBUG_NJTRST</t>
  </si>
  <si>
    <t>PB5</t>
  </si>
  <si>
    <t>SERSOR</t>
  </si>
  <si>
    <t>DEBUG_TRACECLK</t>
  </si>
  <si>
    <t>PB6</t>
  </si>
  <si>
    <t>USART2_CTS</t>
  </si>
  <si>
    <t>DEBUG_TRACED0</t>
  </si>
  <si>
    <t>I3C1_SCL</t>
  </si>
  <si>
    <t>I2C1_SCL</t>
  </si>
  <si>
    <t>PB7</t>
  </si>
  <si>
    <t>SPI3_SCK</t>
  </si>
  <si>
    <t>DEBUG_TRACED1</t>
  </si>
  <si>
    <t>PB8</t>
  </si>
  <si>
    <t>TIM1_BKIN2</t>
  </si>
  <si>
    <t>PC13</t>
  </si>
  <si>
    <t>I2C RESET</t>
  </si>
  <si>
    <t>PC14-OSC32_IN(OSC32_IN)</t>
  </si>
  <si>
    <t>LED</t>
  </si>
  <si>
    <t>PC15-OSC32_OUT(OSC32_OUT)</t>
  </si>
  <si>
    <t>SPI1-CS-TXE8124</t>
  </si>
  <si>
    <t>PH0-OSC_IN(PH0)</t>
  </si>
  <si>
    <t>RCC_OSC_IN</t>
  </si>
  <si>
    <t>PH1-OSC_OUT(PH1)</t>
  </si>
  <si>
    <t>RCC_OSC_OUT</t>
  </si>
  <si>
    <t>FPGA-RESET</t>
  </si>
  <si>
    <t>VBAT</t>
  </si>
  <si>
    <t>Power</t>
  </si>
  <si>
    <t>VCAP</t>
  </si>
  <si>
    <t>VDD</t>
  </si>
  <si>
    <t>VDDA</t>
  </si>
  <si>
    <t>VSS</t>
  </si>
  <si>
    <t>VSSA</t>
  </si>
  <si>
    <t>MCU-I/O-HW-AUTOID</t>
  </si>
  <si>
    <t>MCU-I/O</t>
  </si>
  <si>
    <t>NOVA-FIN-PIN</t>
  </si>
  <si>
    <t>I/0</t>
  </si>
  <si>
    <t>客制定義</t>
  </si>
  <si>
    <t>無衝突定義</t>
  </si>
  <si>
    <t>選擇性功能使用</t>
  </si>
  <si>
    <t>為定義</t>
  </si>
  <si>
    <t>Power_STA2</t>
  </si>
  <si>
    <t>SAVC-GET</t>
  </si>
  <si>
    <t>Power_STA1</t>
  </si>
  <si>
    <t>Input_Fan4</t>
  </si>
  <si>
    <t>Input_Fan3</t>
  </si>
  <si>
    <t>Input_Fan2</t>
  </si>
  <si>
    <t>Input_Fan1</t>
  </si>
  <si>
    <t>Sensor_SCL</t>
  </si>
  <si>
    <t>SAVC-I2C</t>
  </si>
  <si>
    <t>I2C1_SDA-Sensor</t>
  </si>
  <si>
    <t>Sensor_SDA</t>
  </si>
  <si>
    <t>I2C1_SCL-Sensor</t>
  </si>
  <si>
    <t>HUB_UART_RX HUB_SPI_MISO</t>
  </si>
  <si>
    <t>SAVC-SPI</t>
  </si>
  <si>
    <t>HUB_UART_TX HUB_SPI_MOSI</t>
  </si>
  <si>
    <t>HUB_SPI_CLK</t>
  </si>
  <si>
    <t>HUB_SPI_CS</t>
  </si>
  <si>
    <t>SAVC-SPI-CS</t>
  </si>
  <si>
    <t>HUB_CODE3</t>
  </si>
  <si>
    <t>I2C2_SCL-Panel</t>
  </si>
  <si>
    <t>HUB_CODE2</t>
  </si>
  <si>
    <t>I2C2_SDA-Panel</t>
  </si>
  <si>
    <t>HUB_CODE1</t>
  </si>
  <si>
    <t>HUB_CODE0</t>
  </si>
  <si>
    <t>TEST-KEY</t>
  </si>
  <si>
    <t>STA-LED</t>
  </si>
  <si>
    <t>PIN</t>
  </si>
  <si>
    <t>BANK</t>
  </si>
  <si>
    <t>Function</t>
  </si>
  <si>
    <t>VCC</t>
  </si>
  <si>
    <t>BNAK0(DDR)=64PIN</t>
  </si>
  <si>
    <t>BANK1(3.3V)=15PIN</t>
  </si>
  <si>
    <t>BANK2(3.3V)=38PIN</t>
  </si>
  <si>
    <t>BANK4(3.3V)=24PIN</t>
  </si>
  <si>
    <t>BANK6(2.5V)=28PIN</t>
  </si>
  <si>
    <t>BANK7(3.3V)=22PIN</t>
  </si>
  <si>
    <t>U1</t>
  </si>
  <si>
    <t>---</t>
  </si>
  <si>
    <t>SERDES_0_RXD0_P</t>
  </si>
  <si>
    <t>U17</t>
  </si>
  <si>
    <t>DEVRST_N</t>
  </si>
  <si>
    <t>U3</t>
  </si>
  <si>
    <t>SERDES_0_RXD1_P</t>
  </si>
  <si>
    <t>U7</t>
  </si>
  <si>
    <t>SERDES_0_RXD2_P</t>
  </si>
  <si>
    <t>U9</t>
  </si>
  <si>
    <t>SERDES_0_RXD3_P</t>
  </si>
  <si>
    <t>V1</t>
  </si>
  <si>
    <t>SERDES_0_RXD0_N</t>
  </si>
  <si>
    <t>V3</t>
  </si>
  <si>
    <t>SERDES_0_RXD1_N</t>
  </si>
  <si>
    <t>V7</t>
  </si>
  <si>
    <t>SERDES_0_RXD2_N</t>
  </si>
  <si>
    <t>V9</t>
  </si>
  <si>
    <t>SERDES_0_RXD3_N</t>
  </si>
  <si>
    <t>W2</t>
  </si>
  <si>
    <t>SERDES_0_TXD0_N</t>
  </si>
  <si>
    <t>W4</t>
  </si>
  <si>
    <t>SERDES_0_TXD1_N</t>
  </si>
  <si>
    <t>W6</t>
  </si>
  <si>
    <t>SERDES_0_TXD2_N</t>
  </si>
  <si>
    <t>W8</t>
  </si>
  <si>
    <t>SERDES_0_TXD3_N</t>
  </si>
  <si>
    <t>Y2</t>
  </si>
  <si>
    <t>SERDES_0_TXD0_P</t>
  </si>
  <si>
    <t>Y4</t>
  </si>
  <si>
    <t>SERDES_0_TXD1_P</t>
  </si>
  <si>
    <t>Y6</t>
  </si>
  <si>
    <t>SERDES_0_TXD2_P</t>
  </si>
  <si>
    <t>Y8</t>
  </si>
  <si>
    <t>SERDES_0_TXD3_P</t>
  </si>
  <si>
    <t>A1</t>
  </si>
  <si>
    <t>Bank0</t>
  </si>
  <si>
    <t>DDRIO59PB0/GB0</t>
  </si>
  <si>
    <t>A10</t>
  </si>
  <si>
    <t>DDRIO48NB0/MDDR_DQ9</t>
  </si>
  <si>
    <t>A11</t>
  </si>
  <si>
    <t>DDRIO43PB0/MDDR_DQ14</t>
  </si>
  <si>
    <t>A13</t>
  </si>
  <si>
    <t>DDRIO36PB0/MDDR_ADDR1</t>
  </si>
  <si>
    <t>A14</t>
  </si>
  <si>
    <t>DDRIO36NB0/MDDR_ADDR2</t>
  </si>
  <si>
    <t>A15</t>
  </si>
  <si>
    <t>DDRIO34NB0/MDDR_ADDR6</t>
  </si>
  <si>
    <t>A16</t>
  </si>
  <si>
    <t>DDRIO32PB0/MDDR_ADDR8</t>
  </si>
  <si>
    <t>A18</t>
  </si>
  <si>
    <t>DDRIO29PB0/MDDR_ADDR14</t>
  </si>
  <si>
    <t>A3</t>
  </si>
  <si>
    <t>DDRIO56PB0/MDDR_DQ_ECC1</t>
  </si>
  <si>
    <t>A4</t>
  </si>
  <si>
    <t>DDRIO56NB0/MDDR_DQ_ECC0</t>
  </si>
  <si>
    <t>A5</t>
  </si>
  <si>
    <t>DDRIO53PB0/MDDR_DQ2</t>
  </si>
  <si>
    <t>A6</t>
  </si>
  <si>
    <t>DDRIO53NB0/MDDR_DQ3</t>
  </si>
  <si>
    <t>A8</t>
  </si>
  <si>
    <t>DDRIO50PB0/MDDR_DQ5</t>
  </si>
  <si>
    <t>A9</t>
  </si>
  <si>
    <t>DDRIO48PB0/MDDR_DQ8</t>
  </si>
  <si>
    <t>B1</t>
  </si>
  <si>
    <t>DDRIO59NB0/GB4</t>
  </si>
  <si>
    <t>B11</t>
  </si>
  <si>
    <t>DDRIO43NB0/MDDR_DQ15</t>
  </si>
  <si>
    <t>B12</t>
  </si>
  <si>
    <t>DDRIO39NB0/MDDR_CLK_N</t>
  </si>
  <si>
    <t>B13</t>
  </si>
  <si>
    <t>DDRIO39PB0/MDDR_CLK</t>
  </si>
  <si>
    <t>B14</t>
  </si>
  <si>
    <t>DDRIO34PB0/MDDR_ADDR5</t>
  </si>
  <si>
    <t>B16</t>
  </si>
  <si>
    <t>DDRIO33PB0/MDDR_ODT</t>
  </si>
  <si>
    <t>B17</t>
  </si>
  <si>
    <t>DDRIO32NB0/MDDR_ADDR9</t>
  </si>
  <si>
    <t>B18</t>
  </si>
  <si>
    <t>DDRIO29NB0/MDDR_ADDR15</t>
  </si>
  <si>
    <t>B3</t>
  </si>
  <si>
    <t>DDRIO58PB0/MDDR_DQS_ECC</t>
  </si>
  <si>
    <t>B4</t>
  </si>
  <si>
    <t>DDRIO58NB0/MDDR_DQS_ECC_N</t>
  </si>
  <si>
    <t>B6</t>
  </si>
  <si>
    <t>DDRIO51PB0/MDDR_DM_RDQS0</t>
  </si>
  <si>
    <t>B7</t>
  </si>
  <si>
    <t>DDRIO51NB0/MDDR_DQ4</t>
  </si>
  <si>
    <t>B8</t>
  </si>
  <si>
    <t>DDRIO50NB0/MDDR_DQ6</t>
  </si>
  <si>
    <t>B9</t>
  </si>
  <si>
    <t>DDRIO46NB0/MDDR_DQS1_N</t>
  </si>
  <si>
    <t>C10</t>
  </si>
  <si>
    <t>DDRIO47NB0/MDDR_DQ11</t>
  </si>
  <si>
    <t>C11</t>
  </si>
  <si>
    <t>DDRIO41NB0/MDDR_CS_N</t>
  </si>
  <si>
    <t>C12</t>
  </si>
  <si>
    <t>DDRIO41PB0/MDDR_CKE</t>
  </si>
  <si>
    <t>C14</t>
  </si>
  <si>
    <t>DDRIO35PB0/MDDR_ADDR3</t>
  </si>
  <si>
    <t>C15</t>
  </si>
  <si>
    <t>DDRIO35NB0/MDDR_ADDR4</t>
  </si>
  <si>
    <t>C16</t>
  </si>
  <si>
    <t>DDRIO33NB0/MDDR_ADDR7</t>
  </si>
  <si>
    <t>C17</t>
  </si>
  <si>
    <t>DDRIO30NB0/MDDR_ADDR13</t>
  </si>
  <si>
    <t>C4</t>
  </si>
  <si>
    <t>DDRIO60PB0/MDDR_TMATCH_ECC_OUT</t>
  </si>
  <si>
    <t>C5</t>
  </si>
  <si>
    <t>DDRIO57NB0/MDDR_DM_RDQS_ECC</t>
  </si>
  <si>
    <t>C6</t>
  </si>
  <si>
    <t>DDRIO52PB0/MDDR_DQS0</t>
  </si>
  <si>
    <t>C7</t>
  </si>
  <si>
    <t>DDRIO52NB0/MDDR_DQS0_N</t>
  </si>
  <si>
    <t>C9</t>
  </si>
  <si>
    <t>DDRIO46PB0/MDDR_DQS1</t>
  </si>
  <si>
    <t>D10</t>
  </si>
  <si>
    <t>DDRIO44PB0/MDDR_DQ12</t>
  </si>
  <si>
    <t>D12</t>
  </si>
  <si>
    <t>DDRIO42PB0/MDDR_RAS_N</t>
  </si>
  <si>
    <t>D13</t>
  </si>
  <si>
    <t>DDRIO37PB0/MDDR_BA2</t>
  </si>
  <si>
    <t>D14</t>
  </si>
  <si>
    <t>DDRIO37NB0/MDDR_ADDR0</t>
  </si>
  <si>
    <t>D15</t>
  </si>
  <si>
    <t>DDRIO31PB0/MDDR_ADDR10</t>
  </si>
  <si>
    <t>D17</t>
  </si>
  <si>
    <t>DDRIO30PB0/MDDR_ADDR12</t>
  </si>
  <si>
    <t>D3</t>
  </si>
  <si>
    <t>DDRIO60NB0/CCC_NE1_CLKI3</t>
  </si>
  <si>
    <t>D4</t>
  </si>
  <si>
    <t>DDRIO57PB0/MDDR_TMATCH_ECC_IN</t>
  </si>
  <si>
    <t>D5</t>
  </si>
  <si>
    <t>DDRIO55NB0</t>
  </si>
  <si>
    <t>D7</t>
  </si>
  <si>
    <t>DDRIO49PB0/MDDR_DQ7</t>
  </si>
  <si>
    <t>D8</t>
  </si>
  <si>
    <t>DDRIO49NB0/MDDR_TMATCH_0_OUT</t>
  </si>
  <si>
    <t>D9</t>
  </si>
  <si>
    <t>DDRIO47PB0/MDDR_DQ10</t>
  </si>
  <si>
    <t>E10</t>
  </si>
  <si>
    <t>DDRIO44NB0/MDDR_DQ13</t>
  </si>
  <si>
    <t>E11</t>
  </si>
  <si>
    <t>DDRIO42NB0/MDDR_WE_N</t>
  </si>
  <si>
    <t>E12</t>
  </si>
  <si>
    <t>DDRIO40NB0/MDDR_CAS_N</t>
  </si>
  <si>
    <t>E13</t>
  </si>
  <si>
    <t>DDRIO38PB0/MDDR_BA0</t>
  </si>
  <si>
    <t>E15</t>
  </si>
  <si>
    <t>DDRIO31NB0/MDDR_ADDR11</t>
  </si>
  <si>
    <t>E6</t>
  </si>
  <si>
    <t>DDRIO55PB0/CCC_NE0_CLKI3</t>
  </si>
  <si>
    <t>E7</t>
  </si>
  <si>
    <t>DDRIO54PB0/MDDR_DQ0</t>
  </si>
  <si>
    <t>E8</t>
  </si>
  <si>
    <t>DDRIO45PB0/MDDR_TMATCH_0_IN</t>
  </si>
  <si>
    <t>F11</t>
  </si>
  <si>
    <t>DDRIO40PB0/MDDR_RESET_N</t>
  </si>
  <si>
    <t>F13</t>
  </si>
  <si>
    <t>DDRIO38NB0/MDDR_BA1</t>
  </si>
  <si>
    <t>F8</t>
  </si>
  <si>
    <t>DDRIO54NB0/MDDR_DQ1</t>
  </si>
  <si>
    <t>F9</t>
  </si>
  <si>
    <t>DDRIO45NB0/MDDR_DM_RDQS1</t>
  </si>
  <si>
    <t>A19</t>
  </si>
  <si>
    <t>Bank1</t>
  </si>
  <si>
    <t>MSIO28NB1</t>
  </si>
  <si>
    <t>A20</t>
  </si>
  <si>
    <t>MSIO28PB1</t>
  </si>
  <si>
    <t>B19</t>
  </si>
  <si>
    <t>MSIO27NB1</t>
  </si>
  <si>
    <t>C19</t>
  </si>
  <si>
    <t>MSIO27PB1</t>
  </si>
  <si>
    <t>C20</t>
  </si>
  <si>
    <t>MSIO25NB1</t>
  </si>
  <si>
    <t>D18</t>
  </si>
  <si>
    <t>MSI26NB1-input only</t>
  </si>
  <si>
    <t>D20</t>
  </si>
  <si>
    <t>MSIO25PB1</t>
  </si>
  <si>
    <t>E16</t>
  </si>
  <si>
    <t>MSIO24NB1</t>
  </si>
  <si>
    <t>E17</t>
  </si>
  <si>
    <t>MSIO24PB1</t>
  </si>
  <si>
    <t>E18</t>
  </si>
  <si>
    <t>MSIO22PB1/GB6</t>
  </si>
  <si>
    <t>F15</t>
  </si>
  <si>
    <t>MSIO23PB1</t>
  </si>
  <si>
    <t>F16</t>
  </si>
  <si>
    <t>MSIO23NB1</t>
  </si>
  <si>
    <t>F18</t>
  </si>
  <si>
    <t>MSIO22NB1</t>
  </si>
  <si>
    <t>G16</t>
  </si>
  <si>
    <t>MSIO21NB1</t>
  </si>
  <si>
    <t>G17</t>
  </si>
  <si>
    <t>MSIO21PB1/GB5</t>
  </si>
  <si>
    <t>F20</t>
  </si>
  <si>
    <t>Bank2</t>
  </si>
  <si>
    <t>MSIO20NB2</t>
  </si>
  <si>
    <t>G18</t>
  </si>
  <si>
    <t>MSIO18NB2</t>
  </si>
  <si>
    <t>G19</t>
  </si>
  <si>
    <t>MSIO20PB2</t>
  </si>
  <si>
    <t>H16</t>
  </si>
  <si>
    <t>MSIO19NB2</t>
  </si>
  <si>
    <t>H17</t>
  </si>
  <si>
    <t>MSIO19PB2</t>
  </si>
  <si>
    <t>H19</t>
  </si>
  <si>
    <t>MSIO18PB2</t>
  </si>
  <si>
    <t>J17</t>
  </si>
  <si>
    <t>MSIO16PB2</t>
  </si>
  <si>
    <t>J18</t>
  </si>
  <si>
    <t>MSIO16NB2</t>
  </si>
  <si>
    <t>J20</t>
  </si>
  <si>
    <t>MSIO15NB2</t>
  </si>
  <si>
    <t>K15</t>
  </si>
  <si>
    <t>MSIO17NB2</t>
  </si>
  <si>
    <t>K16</t>
  </si>
  <si>
    <t>MSIO17PB2</t>
  </si>
  <si>
    <t>K20</t>
  </si>
  <si>
    <t>MSIO15PB2</t>
  </si>
  <si>
    <t>L15</t>
  </si>
  <si>
    <t>MSIO14PB2</t>
  </si>
  <si>
    <t>L16</t>
  </si>
  <si>
    <t>MSIO14NB2</t>
  </si>
  <si>
    <t>L19</t>
  </si>
  <si>
    <t>MSIO13NB2/SPI_0_SS0</t>
  </si>
  <si>
    <t>L20</t>
  </si>
  <si>
    <t>MSIO13PB2/SPI_0_SDO</t>
  </si>
  <si>
    <t>M17</t>
  </si>
  <si>
    <t>MSIO11NB2/CCC_NE0_CLKI2</t>
  </si>
  <si>
    <t>M19</t>
  </si>
  <si>
    <t>MSIO8NB2</t>
  </si>
  <si>
    <t>N15</t>
  </si>
  <si>
    <t>MSIO12NB2/SPI_0_SDI</t>
  </si>
  <si>
    <t>N16</t>
  </si>
  <si>
    <t>MSIO11PB2/CCC_NE0_CLKI1</t>
  </si>
  <si>
    <t>N19</t>
  </si>
  <si>
    <t>MSIO4NB2</t>
  </si>
  <si>
    <t>N20</t>
  </si>
  <si>
    <t>MSIO8PB2</t>
  </si>
  <si>
    <t>P15</t>
  </si>
  <si>
    <t>MSIO12PB2/SPI_0_CLK</t>
  </si>
  <si>
    <t>P18</t>
  </si>
  <si>
    <t>MSIO6PB2</t>
  </si>
  <si>
    <t>P19</t>
  </si>
  <si>
    <t>MSIO6NB2</t>
  </si>
  <si>
    <t>P20</t>
  </si>
  <si>
    <t>MSIO4PB2</t>
  </si>
  <si>
    <t>R15</t>
  </si>
  <si>
    <t>MSIO7NB2</t>
  </si>
  <si>
    <t>R16</t>
  </si>
  <si>
    <t>MSIO7PB2</t>
  </si>
  <si>
    <t>R17</t>
  </si>
  <si>
    <t>MSIO5PB2</t>
  </si>
  <si>
    <t>R18</t>
  </si>
  <si>
    <t>MSIO5NB2</t>
  </si>
  <si>
    <t>R20</t>
  </si>
  <si>
    <t>MSIO3NB2</t>
  </si>
  <si>
    <t>T18</t>
  </si>
  <si>
    <t>MSIO2PB2</t>
  </si>
  <si>
    <t>T19</t>
  </si>
  <si>
    <t>MSIO2NB2</t>
  </si>
  <si>
    <t>T20</t>
  </si>
  <si>
    <t>MSIO3PB2</t>
  </si>
  <si>
    <t>U18</t>
  </si>
  <si>
    <t>MSIO1PB2</t>
  </si>
  <si>
    <t>U19</t>
  </si>
  <si>
    <t>MSIO1NB2</t>
  </si>
  <si>
    <t>V19</t>
  </si>
  <si>
    <t>MSIO0NB2</t>
  </si>
  <si>
    <t>V20</t>
  </si>
  <si>
    <t>MSIO0PB2</t>
  </si>
  <si>
    <t>R12</t>
  </si>
  <si>
    <t>Bank4</t>
  </si>
  <si>
    <t>MSIO114NB4</t>
  </si>
  <si>
    <t>R13</t>
  </si>
  <si>
    <t>MSIO114PB4</t>
  </si>
  <si>
    <t>T13</t>
  </si>
  <si>
    <t>MSIO113NB4</t>
  </si>
  <si>
    <t>T14</t>
  </si>
  <si>
    <t>MSIO116PB4</t>
  </si>
  <si>
    <t>T15</t>
  </si>
  <si>
    <t>MSIO116NB4</t>
  </si>
  <si>
    <t>U11</t>
  </si>
  <si>
    <t>MSIO104NB4/GB7</t>
  </si>
  <si>
    <t>U12</t>
  </si>
  <si>
    <t>MSIO110NB4</t>
  </si>
  <si>
    <t>U13</t>
  </si>
  <si>
    <t>MSIO113PB4</t>
  </si>
  <si>
    <t>U14</t>
  </si>
  <si>
    <t>MSIO115NB4</t>
  </si>
  <si>
    <t>V11</t>
  </si>
  <si>
    <t>MSIO104PB4/GB3</t>
  </si>
  <si>
    <t>V12</t>
  </si>
  <si>
    <t>MSIO110PB4</t>
  </si>
  <si>
    <t>V14</t>
  </si>
  <si>
    <t>MSIO115PB4</t>
  </si>
  <si>
    <t>V15</t>
  </si>
  <si>
    <t>MSIO118NB4</t>
  </si>
  <si>
    <t>W10</t>
  </si>
  <si>
    <t>MSIO102NB4/CCC_NE1_CLKI0</t>
  </si>
  <si>
    <t>W12</t>
  </si>
  <si>
    <t>MSIO103NB4/PROBE_B</t>
  </si>
  <si>
    <t>W13</t>
  </si>
  <si>
    <t>MSIO112PB4</t>
  </si>
  <si>
    <t>W14</t>
  </si>
  <si>
    <t>MSIO112NB4</t>
  </si>
  <si>
    <t>W15</t>
  </si>
  <si>
    <t>MSIO118PB4</t>
  </si>
  <si>
    <t>Y10</t>
  </si>
  <si>
    <t>MSIO102PB4</t>
  </si>
  <si>
    <t>Y11</t>
  </si>
  <si>
    <t>MSIO103PB4/PROBE_A</t>
  </si>
  <si>
    <t>Y12</t>
  </si>
  <si>
    <t>MSIO105PB4/CCC_NE0_CLKI0</t>
  </si>
  <si>
    <t>Y13</t>
  </si>
  <si>
    <t>MSIO105NB4</t>
  </si>
  <si>
    <t>Y15</t>
  </si>
  <si>
    <t>MSIO117PB4</t>
  </si>
  <si>
    <t>Y16</t>
  </si>
  <si>
    <t>MSIO117NB4</t>
  </si>
  <si>
    <t>P2</t>
  </si>
  <si>
    <t>Bank5</t>
  </si>
  <si>
    <t>MSIOD101PB5/SERDES_0_REFCLK1_P</t>
  </si>
  <si>
    <t>P3</t>
  </si>
  <si>
    <t>MSIOD101NB5/SERDES_0_REFCLK1_N</t>
  </si>
  <si>
    <t>R1</t>
  </si>
  <si>
    <t>MSIOD100PB5/SERDES_0_REFCLK0_P</t>
  </si>
  <si>
    <t>R2</t>
  </si>
  <si>
    <t>MSIOD100NB5/SERDES_0_REFCLK0_N</t>
  </si>
  <si>
    <t>H1</t>
  </si>
  <si>
    <t>Bank6</t>
  </si>
  <si>
    <t>MSIOD82PB6</t>
  </si>
  <si>
    <t>18_25</t>
  </si>
  <si>
    <t>H2</t>
  </si>
  <si>
    <t>MSIOD82NB6</t>
  </si>
  <si>
    <t>J2</t>
  </si>
  <si>
    <t>MSIOD84PB6/CCC_NE1_CLKI2</t>
  </si>
  <si>
    <t>J3</t>
  </si>
  <si>
    <t>MSIOD84NB6</t>
  </si>
  <si>
    <t>J4</t>
  </si>
  <si>
    <t>MSIOD83PB6</t>
  </si>
  <si>
    <t>J5</t>
  </si>
  <si>
    <t>MSIOD83NB6</t>
  </si>
  <si>
    <t>J6</t>
  </si>
  <si>
    <t>MSIOD85NB6</t>
  </si>
  <si>
    <t>K1</t>
  </si>
  <si>
    <t>MSIOD93NB6</t>
  </si>
  <si>
    <t>K2</t>
  </si>
  <si>
    <t>MSIOD87PB6</t>
  </si>
  <si>
    <t>K3</t>
  </si>
  <si>
    <t>MSIOD87NB6</t>
  </si>
  <si>
    <t>K5</t>
  </si>
  <si>
    <t>MSIOD86PB6</t>
  </si>
  <si>
    <t>K6</t>
  </si>
  <si>
    <t>MSIOD86NB6</t>
  </si>
  <si>
    <t>K7</t>
  </si>
  <si>
    <t>MSIOD85PB6/CCC_NE1_CLKI1</t>
  </si>
  <si>
    <t>L1</t>
  </si>
  <si>
    <t>MSIOD93PB6</t>
  </si>
  <si>
    <t>L3</t>
  </si>
  <si>
    <t>MSIOD95NB6</t>
  </si>
  <si>
    <t>L4</t>
  </si>
  <si>
    <t>MSIOD90PB6</t>
  </si>
  <si>
    <t>L5</t>
  </si>
  <si>
    <t>MSIOD90NB6</t>
  </si>
  <si>
    <t>L6</t>
  </si>
  <si>
    <t>MSIOD89PB6</t>
  </si>
  <si>
    <t>L7</t>
  </si>
  <si>
    <t>MSIOD89NB6</t>
  </si>
  <si>
    <t>M1</t>
  </si>
  <si>
    <t>MSIOD97PB6</t>
  </si>
  <si>
    <t>M2</t>
  </si>
  <si>
    <t>MSIOD97NB6</t>
  </si>
  <si>
    <t>M3</t>
  </si>
  <si>
    <t>MSIOD95PB6</t>
  </si>
  <si>
    <t>M4</t>
  </si>
  <si>
    <t>MSIOD98NB6</t>
  </si>
  <si>
    <t>M6</t>
  </si>
  <si>
    <t>MSIOD94NB6</t>
  </si>
  <si>
    <t>M7</t>
  </si>
  <si>
    <t>MSIOD94PB6</t>
  </si>
  <si>
    <t>N1</t>
  </si>
  <si>
    <t>MSIOD99PB6</t>
  </si>
  <si>
    <t>N2</t>
  </si>
  <si>
    <t>MSIOD99NB6</t>
  </si>
  <si>
    <t>N4</t>
  </si>
  <si>
    <t>MSIOD98PB6</t>
  </si>
  <si>
    <t>C1</t>
  </si>
  <si>
    <t>Bank7</t>
  </si>
  <si>
    <t>MSIO64PB7</t>
  </si>
  <si>
    <t>C2</t>
  </si>
  <si>
    <t>MSIO64NB7</t>
  </si>
  <si>
    <t>D2</t>
  </si>
  <si>
    <t>MSIO68PB7</t>
  </si>
  <si>
    <t>E1</t>
  </si>
  <si>
    <t>MSIO70PB7</t>
  </si>
  <si>
    <t>E2</t>
  </si>
  <si>
    <t>MSIO70NB7</t>
  </si>
  <si>
    <t>E3</t>
  </si>
  <si>
    <t>MSIO68NB7</t>
  </si>
  <si>
    <t>E5</t>
  </si>
  <si>
    <t>MSIO67NB7</t>
  </si>
  <si>
    <t>F1</t>
  </si>
  <si>
    <t>MSIO79NB7</t>
  </si>
  <si>
    <t>F3</t>
  </si>
  <si>
    <t>MSIO71PB7</t>
  </si>
  <si>
    <t>F4</t>
  </si>
  <si>
    <t>MSIO71NB7</t>
  </si>
  <si>
    <t>F5</t>
  </si>
  <si>
    <t>MSIO75NB7</t>
  </si>
  <si>
    <t>F6</t>
  </si>
  <si>
    <t>MSIO67PB7</t>
  </si>
  <si>
    <t>F7</t>
  </si>
  <si>
    <t>MSIO74NB7</t>
  </si>
  <si>
    <t>G1</t>
  </si>
  <si>
    <t>MSIO79PB7/GB1</t>
  </si>
  <si>
    <t>G2</t>
  </si>
  <si>
    <t>MSIO78PB7/GB2</t>
  </si>
  <si>
    <t>G3</t>
  </si>
  <si>
    <t>MSIO78NB7</t>
  </si>
  <si>
    <t>G4</t>
  </si>
  <si>
    <t>MSIO75PB7</t>
  </si>
  <si>
    <t>G6</t>
  </si>
  <si>
    <t>MSIO74PB7</t>
  </si>
  <si>
    <t>H4</t>
  </si>
  <si>
    <t>MSIO80NB7</t>
  </si>
  <si>
    <t>H5</t>
  </si>
  <si>
    <t>MSIO80PB7</t>
  </si>
  <si>
    <t>H6</t>
  </si>
  <si>
    <t>MSIO81NB7</t>
  </si>
  <si>
    <t>J7</t>
  </si>
  <si>
    <t>MSIO81PB7</t>
  </si>
  <si>
    <t>NOVA</t>
  </si>
  <si>
    <t>96-RGB</t>
  </si>
  <si>
    <t>5PIN-ABCDE</t>
  </si>
  <si>
    <t>DCK(pin26)</t>
  </si>
  <si>
    <t>DCK(pin28)</t>
  </si>
  <si>
    <t>Lathc(pin30)</t>
  </si>
  <si>
    <t>CTRL(pin32)</t>
  </si>
  <si>
    <t>GCK/OE(pin34)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</si>
</sst>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trike/>
      <color theme="1"/>
      <name val="Arial"/>
      <scheme val="minor"/>
    </font>
    <font>
      <color rgb="FFFFFFFF"/>
      <name val="Arial"/>
      <scheme val="minor"/>
    </font>
    <font>
      <color theme="1"/>
      <name val="Arial"/>
    </font>
    <font>
      <color rgb="FFFF00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4A86E8"/>
        <bgColor rgb="FF4A86E8"/>
      </patternFill>
    </fill>
    <fill>
      <patternFill patternType="solid">
        <fgColor theme="8"/>
        <bgColor theme="8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2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0" fillId="5" fontId="1" numFmtId="0" xfId="0" applyAlignment="1" applyFill="1" applyFont="1">
      <alignment readingOrder="0" shrinkToFit="0" vertical="center" wrapText="0"/>
    </xf>
    <xf borderId="0" fillId="6" fontId="1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7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  <xf borderId="0" fillId="5" fontId="1" numFmtId="0" xfId="0" applyAlignment="1" applyFont="1">
      <alignment readingOrder="0"/>
    </xf>
    <xf borderId="0" fillId="8" fontId="3" numFmtId="0" xfId="0" applyAlignment="1" applyFill="1" applyFont="1">
      <alignment readingOrder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STM32H503-IO Expand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M32H503V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工作表2-style">
      <tableStyleElement dxfId="2" type="firstRowStripe"/>
      <tableStyleElement dxfId="3" type="secondRowStripe"/>
    </tableStyle>
    <tableStyle count="2" pivot="0" name="工作表2-style 2">
      <tableStyleElement dxfId="3" type="firstRowStripe"/>
      <tableStyleElement dxfId="2" type="secondRowStripe"/>
    </tableStyle>
    <tableStyle count="4" pivot="0" name="FPGA-I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49" displayName="表" name="表" id="1">
  <tableColumns count="22">
    <tableColumn name="Position" id="1"/>
    <tableColumn name="Name" id="2"/>
    <tableColumn name="Type" id="3"/>
    <tableColumn name="Signal" id="4"/>
    <tableColumn name="Label-SAVC" id="5"/>
    <tableColumn name="NOVASTAR" id="6"/>
    <tableColumn name="AF0" id="7"/>
    <tableColumn name="AF1" id="8"/>
    <tableColumn name="AF2" id="9"/>
    <tableColumn name="AF3" id="10"/>
    <tableColumn name="AF4" id="11"/>
    <tableColumn name="AF5" id="12"/>
    <tableColumn name="AF6" id="13"/>
    <tableColumn name="AF7" id="14"/>
    <tableColumn name="AF8" id="15"/>
    <tableColumn name="AF9" id="16"/>
    <tableColumn name="AF10" id="17"/>
    <tableColumn name="AF11" id="18"/>
    <tableColumn name="AF12" id="19"/>
    <tableColumn name="AF13" id="20"/>
    <tableColumn name="AF14" id="21"/>
    <tableColumn name="AF15" id="22"/>
  </tableColumns>
  <tableStyleInfo name="STM32H503-IO Expander-style" showColumnStripes="0" showFirstColumn="1" showLastColumn="1" showRowStripes="1"/>
</table>
</file>

<file path=xl/tables/table2.xml><?xml version="1.0" encoding="utf-8"?>
<table xmlns="http://schemas.openxmlformats.org/spreadsheetml/2006/main" ref="A1:V49" displayName="表_1" name="表_1" id="2">
  <tableColumns count="22">
    <tableColumn name="Position" id="1"/>
    <tableColumn name="Name" id="2"/>
    <tableColumn name="Type" id="3"/>
    <tableColumn name="Signal" id="4"/>
    <tableColumn name="Label-SAVC" id="5"/>
    <tableColumn name="NOVASTAR" id="6"/>
    <tableColumn name="AF0" id="7"/>
    <tableColumn name="AF1" id="8"/>
    <tableColumn name="AF2" id="9"/>
    <tableColumn name="AF3" id="10"/>
    <tableColumn name="AF4" id="11"/>
    <tableColumn name="AF5" id="12"/>
    <tableColumn name="AF6" id="13"/>
    <tableColumn name="AF7" id="14"/>
    <tableColumn name="AF8" id="15"/>
    <tableColumn name="AF9" id="16"/>
    <tableColumn name="AF10" id="17"/>
    <tableColumn name="AF11" id="18"/>
    <tableColumn name="AF12" id="19"/>
    <tableColumn name="AF13" id="20"/>
    <tableColumn name="AF14" id="21"/>
    <tableColumn name="AF15" id="22"/>
  </tableColumns>
  <tableStyleInfo name="STM32H503V2-style" showColumnStripes="0" showFirstColumn="1" showLastColumn="1" showRowStripes="1"/>
</table>
</file>

<file path=xl/tables/table3.xml><?xml version="1.0" encoding="utf-8"?>
<table xmlns="http://schemas.openxmlformats.org/spreadsheetml/2006/main" headerRowCount="0" ref="E2:F15" displayName="Table_1" name="Table_1" id="3">
  <tableColumns count="2">
    <tableColumn name="Column1" id="1"/>
    <tableColumn name="Column2" id="2"/>
  </tableColumns>
  <tableStyleInfo name="工作表2-style" showColumnStripes="0" showFirstColumn="1" showLastColumn="1" showRowStripes="1"/>
</table>
</file>

<file path=xl/tables/table4.xml><?xml version="1.0" encoding="utf-8"?>
<table xmlns="http://schemas.openxmlformats.org/spreadsheetml/2006/main" headerRowCount="0" ref="D16:D17" displayName="Table_2" name="Table_2" id="4">
  <tableColumns count="1">
    <tableColumn name="Column1" id="1"/>
  </tableColumns>
  <tableStyleInfo name="工作表2-style 2" showColumnStripes="0" showFirstColumn="1" showLastColumn="1" showRowStripes="1"/>
</table>
</file>

<file path=xl/tables/table5.xml><?xml version="1.0" encoding="utf-8"?>
<table xmlns="http://schemas.openxmlformats.org/spreadsheetml/2006/main" ref="A2:D214" displayName="表_2" name="表_2" id="5">
  <tableColumns count="4">
    <tableColumn name="PIN" id="1"/>
    <tableColumn name="BANK" id="2"/>
    <tableColumn name="Function" id="3"/>
    <tableColumn name="VCC" id="4"/>
  </tableColumns>
  <tableStyleInfo name="FPGA-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26.5"/>
    <col customWidth="1" min="4" max="4" width="18.13"/>
    <col customWidth="1" min="5" max="5" width="26.63"/>
    <col customWidth="1" min="6" max="6" width="17.75"/>
    <col customWidth="1" min="7" max="7" width="13.5"/>
    <col customWidth="1" min="11" max="13" width="18.88"/>
    <col customWidth="1" min="14" max="14" width="23.5"/>
    <col customWidth="1" min="15" max="15" width="24.13"/>
    <col customWidth="1" min="16" max="16" width="23.5"/>
    <col customWidth="1" min="17" max="17" width="18.88"/>
    <col customWidth="1" min="18" max="18" width="23.5"/>
    <col customWidth="1" min="19" max="19" width="18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2.5" customHeight="1">
      <c r="A2" s="4">
        <v>44.0</v>
      </c>
      <c r="B2" s="5" t="s">
        <v>22</v>
      </c>
      <c r="C2" s="6" t="s">
        <v>23</v>
      </c>
      <c r="E2" s="5" t="s">
        <v>24</v>
      </c>
    </row>
    <row r="3" ht="22.5" customHeight="1">
      <c r="A3" s="4">
        <v>7.0</v>
      </c>
      <c r="B3" s="5" t="s">
        <v>25</v>
      </c>
      <c r="C3" s="6" t="s">
        <v>26</v>
      </c>
      <c r="E3" s="5" t="s">
        <v>24</v>
      </c>
    </row>
    <row r="4" ht="22.5" customHeight="1">
      <c r="A4" s="4">
        <v>10.0</v>
      </c>
      <c r="B4" s="5" t="s">
        <v>27</v>
      </c>
      <c r="C4" s="6" t="s">
        <v>28</v>
      </c>
      <c r="D4" s="7" t="s">
        <v>29</v>
      </c>
      <c r="E4" s="8" t="s">
        <v>30</v>
      </c>
      <c r="F4" s="5"/>
      <c r="G4" s="5" t="s">
        <v>31</v>
      </c>
      <c r="H4" s="5" t="s">
        <v>32</v>
      </c>
      <c r="I4" s="5" t="s">
        <v>33</v>
      </c>
      <c r="J4" s="5" t="s">
        <v>34</v>
      </c>
      <c r="K4" s="5" t="s">
        <v>35</v>
      </c>
      <c r="L4" s="5" t="s">
        <v>36</v>
      </c>
      <c r="M4" s="5" t="s">
        <v>37</v>
      </c>
      <c r="N4" s="5" t="s">
        <v>38</v>
      </c>
      <c r="O4" s="5" t="s">
        <v>39</v>
      </c>
      <c r="P4" s="5" t="s">
        <v>40</v>
      </c>
      <c r="Q4" s="5" t="s">
        <v>41</v>
      </c>
      <c r="R4" s="5" t="s">
        <v>42</v>
      </c>
      <c r="S4" s="5" t="s">
        <v>43</v>
      </c>
      <c r="T4" s="5" t="s">
        <v>44</v>
      </c>
      <c r="U4" s="5" t="s">
        <v>45</v>
      </c>
      <c r="V4" s="5" t="s">
        <v>46</v>
      </c>
    </row>
    <row r="5" ht="22.5" customHeight="1">
      <c r="A5" s="4">
        <v>11.0</v>
      </c>
      <c r="B5" s="5" t="s">
        <v>47</v>
      </c>
      <c r="C5" s="6" t="s">
        <v>28</v>
      </c>
      <c r="D5" s="9" t="s">
        <v>48</v>
      </c>
      <c r="E5" s="5" t="s">
        <v>49</v>
      </c>
      <c r="H5" s="5" t="s">
        <v>50</v>
      </c>
      <c r="K5" s="5" t="s">
        <v>51</v>
      </c>
      <c r="L5" s="5" t="s">
        <v>52</v>
      </c>
      <c r="M5" s="5" t="s">
        <v>53</v>
      </c>
      <c r="N5" s="5" t="s">
        <v>54</v>
      </c>
      <c r="O5" s="5" t="s">
        <v>55</v>
      </c>
      <c r="P5" s="5" t="s">
        <v>56</v>
      </c>
      <c r="R5" s="5" t="s">
        <v>57</v>
      </c>
      <c r="U5" s="5" t="s">
        <v>58</v>
      </c>
      <c r="V5" s="5" t="s">
        <v>46</v>
      </c>
    </row>
    <row r="6" ht="22.5" customHeight="1">
      <c r="A6" s="4">
        <v>12.0</v>
      </c>
      <c r="B6" s="5" t="s">
        <v>59</v>
      </c>
      <c r="C6" s="6" t="s">
        <v>28</v>
      </c>
      <c r="D6" s="7" t="s">
        <v>60</v>
      </c>
      <c r="E6" s="5" t="s">
        <v>49</v>
      </c>
      <c r="H6" s="5" t="s">
        <v>61</v>
      </c>
      <c r="I6" s="5" t="s">
        <v>62</v>
      </c>
      <c r="J6" s="5" t="s">
        <v>63</v>
      </c>
      <c r="K6" s="5" t="s">
        <v>64</v>
      </c>
      <c r="L6" s="5" t="s">
        <v>36</v>
      </c>
      <c r="M6" s="5" t="s">
        <v>65</v>
      </c>
      <c r="N6" s="5" t="s">
        <v>60</v>
      </c>
      <c r="O6" s="5" t="s">
        <v>66</v>
      </c>
      <c r="U6" s="5" t="s">
        <v>67</v>
      </c>
      <c r="V6" s="5" t="s">
        <v>46</v>
      </c>
    </row>
    <row r="7" ht="22.5" customHeight="1">
      <c r="A7" s="4">
        <v>13.0</v>
      </c>
      <c r="B7" s="5" t="s">
        <v>68</v>
      </c>
      <c r="C7" s="6" t="s">
        <v>28</v>
      </c>
      <c r="D7" s="5" t="s">
        <v>69</v>
      </c>
      <c r="E7" s="10" t="s">
        <v>70</v>
      </c>
      <c r="F7" s="10" t="s">
        <v>71</v>
      </c>
      <c r="H7" s="5" t="s">
        <v>72</v>
      </c>
      <c r="J7" s="5" t="s">
        <v>73</v>
      </c>
      <c r="K7" s="5" t="s">
        <v>43</v>
      </c>
      <c r="L7" s="5" t="s">
        <v>74</v>
      </c>
      <c r="M7" s="5" t="s">
        <v>75</v>
      </c>
      <c r="N7" s="5" t="s">
        <v>76</v>
      </c>
      <c r="O7" s="5" t="s">
        <v>77</v>
      </c>
      <c r="T7" s="5" t="s">
        <v>78</v>
      </c>
      <c r="U7" s="5" t="s">
        <v>79</v>
      </c>
      <c r="V7" s="5" t="s">
        <v>46</v>
      </c>
    </row>
    <row r="8" ht="22.5" customHeight="1">
      <c r="A8" s="4">
        <v>14.0</v>
      </c>
      <c r="B8" s="5" t="s">
        <v>80</v>
      </c>
      <c r="C8" s="6" t="s">
        <v>28</v>
      </c>
      <c r="D8" s="7" t="s">
        <v>81</v>
      </c>
      <c r="E8" s="10" t="s">
        <v>82</v>
      </c>
      <c r="F8" s="10" t="s">
        <v>71</v>
      </c>
      <c r="H8" s="5" t="s">
        <v>83</v>
      </c>
      <c r="J8" s="5" t="s">
        <v>84</v>
      </c>
      <c r="K8" s="5" t="s">
        <v>85</v>
      </c>
      <c r="L8" s="5" t="s">
        <v>51</v>
      </c>
      <c r="M8" s="5" t="s">
        <v>41</v>
      </c>
      <c r="N8" s="5" t="s">
        <v>56</v>
      </c>
      <c r="O8" s="5" t="s">
        <v>86</v>
      </c>
      <c r="Q8" s="5" t="s">
        <v>65</v>
      </c>
      <c r="T8" s="5" t="s">
        <v>87</v>
      </c>
      <c r="U8" s="5" t="s">
        <v>88</v>
      </c>
      <c r="V8" s="5" t="s">
        <v>46</v>
      </c>
    </row>
    <row r="9" ht="22.5" customHeight="1">
      <c r="A9" s="4">
        <v>15.0</v>
      </c>
      <c r="B9" s="5" t="s">
        <v>89</v>
      </c>
      <c r="C9" s="6" t="s">
        <v>28</v>
      </c>
      <c r="D9" s="5" t="s">
        <v>90</v>
      </c>
      <c r="F9" s="10" t="s">
        <v>71</v>
      </c>
      <c r="G9" s="5" t="s">
        <v>91</v>
      </c>
      <c r="H9" s="5" t="s">
        <v>32</v>
      </c>
      <c r="I9" s="5" t="s">
        <v>35</v>
      </c>
      <c r="J9" s="5" t="s">
        <v>92</v>
      </c>
      <c r="K9" s="5" t="s">
        <v>93</v>
      </c>
      <c r="L9" s="5" t="s">
        <v>64</v>
      </c>
      <c r="M9" s="5" t="s">
        <v>94</v>
      </c>
      <c r="N9" s="5" t="s">
        <v>95</v>
      </c>
      <c r="O9" s="5" t="s">
        <v>96</v>
      </c>
      <c r="P9" s="5" t="s">
        <v>60</v>
      </c>
      <c r="Q9" s="5" t="s">
        <v>75</v>
      </c>
      <c r="R9" s="5" t="s">
        <v>38</v>
      </c>
      <c r="T9" s="5" t="s">
        <v>78</v>
      </c>
      <c r="U9" s="5" t="s">
        <v>45</v>
      </c>
      <c r="V9" s="5" t="s">
        <v>46</v>
      </c>
    </row>
    <row r="10" ht="22.5" customHeight="1">
      <c r="A10" s="4">
        <v>16.0</v>
      </c>
      <c r="B10" s="5" t="s">
        <v>97</v>
      </c>
      <c r="C10" s="6" t="s">
        <v>28</v>
      </c>
      <c r="D10" s="7" t="s">
        <v>98</v>
      </c>
      <c r="E10" s="8" t="s">
        <v>30</v>
      </c>
      <c r="H10" s="5" t="s">
        <v>88</v>
      </c>
      <c r="I10" s="5" t="s">
        <v>33</v>
      </c>
      <c r="L10" s="5" t="s">
        <v>43</v>
      </c>
      <c r="V10" s="5" t="s">
        <v>46</v>
      </c>
    </row>
    <row r="11" ht="22.5" customHeight="1">
      <c r="A11" s="4">
        <v>17.0</v>
      </c>
      <c r="B11" s="5" t="s">
        <v>99</v>
      </c>
      <c r="C11" s="6" t="s">
        <v>28</v>
      </c>
      <c r="D11" s="7" t="s">
        <v>100</v>
      </c>
      <c r="E11" s="8" t="s">
        <v>30</v>
      </c>
      <c r="F11" s="11"/>
      <c r="G11" s="5" t="s">
        <v>101</v>
      </c>
      <c r="H11" s="5" t="s">
        <v>79</v>
      </c>
      <c r="I11" s="5" t="s">
        <v>102</v>
      </c>
      <c r="J11" s="5" t="s">
        <v>34</v>
      </c>
      <c r="K11" s="5" t="s">
        <v>94</v>
      </c>
      <c r="L11" s="5" t="s">
        <v>85</v>
      </c>
      <c r="M11" s="5" t="s">
        <v>42</v>
      </c>
      <c r="N11" s="5" t="s">
        <v>103</v>
      </c>
      <c r="O11" s="5" t="s">
        <v>86</v>
      </c>
      <c r="P11" s="5" t="s">
        <v>104</v>
      </c>
      <c r="Q11" s="5" t="s">
        <v>105</v>
      </c>
      <c r="R11" s="5" t="s">
        <v>106</v>
      </c>
      <c r="T11" s="5" t="s">
        <v>44</v>
      </c>
      <c r="U11" s="5" t="s">
        <v>61</v>
      </c>
      <c r="V11" s="5" t="s">
        <v>46</v>
      </c>
    </row>
    <row r="12" ht="22.5" customHeight="1">
      <c r="A12" s="4">
        <v>29.0</v>
      </c>
      <c r="B12" s="5" t="s">
        <v>107</v>
      </c>
      <c r="C12" s="6" t="s">
        <v>28</v>
      </c>
      <c r="D12" s="5" t="s">
        <v>108</v>
      </c>
      <c r="E12" s="5" t="s">
        <v>109</v>
      </c>
      <c r="G12" s="5" t="s">
        <v>110</v>
      </c>
      <c r="H12" s="5" t="s">
        <v>111</v>
      </c>
      <c r="I12" s="5" t="s">
        <v>112</v>
      </c>
      <c r="J12" s="5" t="s">
        <v>113</v>
      </c>
      <c r="K12" s="5" t="s">
        <v>60</v>
      </c>
      <c r="L12" s="5" t="s">
        <v>114</v>
      </c>
      <c r="M12" s="5" t="s">
        <v>115</v>
      </c>
      <c r="N12" s="5" t="s">
        <v>77</v>
      </c>
      <c r="O12" s="5" t="s">
        <v>116</v>
      </c>
      <c r="P12" s="5" t="s">
        <v>117</v>
      </c>
      <c r="Q12" s="5" t="s">
        <v>108</v>
      </c>
      <c r="R12" s="5" t="s">
        <v>74</v>
      </c>
      <c r="S12" s="5" t="s">
        <v>64</v>
      </c>
      <c r="T12" s="5" t="s">
        <v>87</v>
      </c>
      <c r="U12" s="5" t="s">
        <v>118</v>
      </c>
      <c r="V12" s="5" t="s">
        <v>46</v>
      </c>
    </row>
    <row r="13" ht="22.5" customHeight="1">
      <c r="A13" s="4">
        <v>30.0</v>
      </c>
      <c r="B13" s="5" t="s">
        <v>119</v>
      </c>
      <c r="C13" s="6" t="s">
        <v>28</v>
      </c>
      <c r="D13" s="5" t="s">
        <v>66</v>
      </c>
      <c r="G13" s="5" t="s">
        <v>120</v>
      </c>
      <c r="H13" s="5" t="s">
        <v>121</v>
      </c>
      <c r="J13" s="5" t="s">
        <v>73</v>
      </c>
      <c r="K13" s="5" t="s">
        <v>43</v>
      </c>
      <c r="L13" s="5" t="s">
        <v>95</v>
      </c>
      <c r="N13" s="5" t="s">
        <v>66</v>
      </c>
      <c r="Q13" s="5" t="s">
        <v>75</v>
      </c>
      <c r="T13" s="5" t="s">
        <v>44</v>
      </c>
      <c r="V13" s="5" t="s">
        <v>46</v>
      </c>
    </row>
    <row r="14" ht="22.5" customHeight="1">
      <c r="A14" s="4">
        <v>31.0</v>
      </c>
      <c r="B14" s="5" t="s">
        <v>122</v>
      </c>
      <c r="C14" s="6" t="s">
        <v>28</v>
      </c>
      <c r="D14" s="5" t="s">
        <v>55</v>
      </c>
      <c r="H14" s="5" t="s">
        <v>58</v>
      </c>
      <c r="J14" s="5" t="s">
        <v>63</v>
      </c>
      <c r="K14" s="5" t="s">
        <v>123</v>
      </c>
      <c r="N14" s="5" t="s">
        <v>55</v>
      </c>
      <c r="V14" s="5" t="s">
        <v>46</v>
      </c>
    </row>
    <row r="15" ht="22.5" customHeight="1">
      <c r="A15" s="4">
        <v>32.0</v>
      </c>
      <c r="B15" s="5" t="s">
        <v>124</v>
      </c>
      <c r="C15" s="6" t="s">
        <v>28</v>
      </c>
      <c r="D15" s="5" t="s">
        <v>125</v>
      </c>
      <c r="G15" s="5" t="s">
        <v>126</v>
      </c>
      <c r="H15" s="5" t="s">
        <v>67</v>
      </c>
      <c r="I15" s="5" t="s">
        <v>102</v>
      </c>
      <c r="J15" s="5" t="s">
        <v>116</v>
      </c>
      <c r="K15" s="5" t="s">
        <v>76</v>
      </c>
      <c r="L15" s="5" t="s">
        <v>74</v>
      </c>
      <c r="M15" s="5" t="s">
        <v>37</v>
      </c>
      <c r="N15" s="5" t="s">
        <v>39</v>
      </c>
      <c r="O15" s="5" t="s">
        <v>55</v>
      </c>
      <c r="P15" s="5" t="s">
        <v>117</v>
      </c>
      <c r="Q15" s="5" t="s">
        <v>125</v>
      </c>
      <c r="T15" s="5" t="s">
        <v>104</v>
      </c>
      <c r="U15" s="5" t="s">
        <v>92</v>
      </c>
      <c r="V15" s="5" t="s">
        <v>46</v>
      </c>
    </row>
    <row r="16" ht="22.5" customHeight="1">
      <c r="A16" s="4">
        <v>33.0</v>
      </c>
      <c r="B16" s="5" t="s">
        <v>127</v>
      </c>
      <c r="C16" s="6" t="s">
        <v>28</v>
      </c>
      <c r="D16" s="5" t="s">
        <v>128</v>
      </c>
      <c r="G16" s="5" t="s">
        <v>129</v>
      </c>
      <c r="H16" s="5" t="s">
        <v>130</v>
      </c>
      <c r="I16" s="5" t="s">
        <v>131</v>
      </c>
      <c r="J16" s="5" t="s">
        <v>96</v>
      </c>
      <c r="K16" s="5" t="s">
        <v>60</v>
      </c>
      <c r="L16" s="5" t="s">
        <v>95</v>
      </c>
      <c r="M16" s="5" t="s">
        <v>57</v>
      </c>
      <c r="N16" s="5" t="s">
        <v>86</v>
      </c>
      <c r="O16" s="5" t="s">
        <v>66</v>
      </c>
      <c r="P16" s="5" t="s">
        <v>132</v>
      </c>
      <c r="Q16" s="5" t="s">
        <v>128</v>
      </c>
      <c r="T16" s="5" t="s">
        <v>78</v>
      </c>
      <c r="U16" s="5" t="s">
        <v>72</v>
      </c>
      <c r="V16" s="5" t="s">
        <v>46</v>
      </c>
    </row>
    <row r="17" ht="22.5" customHeight="1">
      <c r="A17" s="4">
        <v>34.0</v>
      </c>
      <c r="B17" s="5" t="s">
        <v>133</v>
      </c>
      <c r="C17" s="6" t="s">
        <v>28</v>
      </c>
      <c r="D17" s="5" t="s">
        <v>134</v>
      </c>
      <c r="E17" s="5" t="s">
        <v>24</v>
      </c>
      <c r="G17" s="5" t="s">
        <v>134</v>
      </c>
      <c r="H17" s="5" t="s">
        <v>111</v>
      </c>
      <c r="I17" s="5" t="s">
        <v>93</v>
      </c>
      <c r="N17" s="5" t="s">
        <v>55</v>
      </c>
      <c r="O17" s="5" t="s">
        <v>116</v>
      </c>
      <c r="P17" s="5" t="s">
        <v>76</v>
      </c>
      <c r="S17" s="5" t="s">
        <v>135</v>
      </c>
      <c r="U17" s="5" t="s">
        <v>130</v>
      </c>
      <c r="V17" s="5" t="s">
        <v>46</v>
      </c>
    </row>
    <row r="18" ht="22.5" customHeight="1">
      <c r="A18" s="4">
        <v>37.0</v>
      </c>
      <c r="B18" s="5" t="s">
        <v>136</v>
      </c>
      <c r="C18" s="6" t="s">
        <v>28</v>
      </c>
      <c r="D18" s="5" t="s">
        <v>137</v>
      </c>
      <c r="E18" s="5" t="s">
        <v>24</v>
      </c>
      <c r="G18" s="5" t="s">
        <v>137</v>
      </c>
      <c r="H18" s="5" t="s">
        <v>121</v>
      </c>
      <c r="I18" s="5" t="s">
        <v>33</v>
      </c>
      <c r="J18" s="5" t="s">
        <v>84</v>
      </c>
      <c r="K18" s="5" t="s">
        <v>35</v>
      </c>
      <c r="N18" s="5" t="s">
        <v>66</v>
      </c>
      <c r="O18" s="5" t="s">
        <v>96</v>
      </c>
      <c r="P18" s="5" t="s">
        <v>60</v>
      </c>
      <c r="U18" s="5" t="s">
        <v>118</v>
      </c>
      <c r="V18" s="5" t="s">
        <v>46</v>
      </c>
    </row>
    <row r="19" ht="22.5" customHeight="1">
      <c r="A19" s="4">
        <v>38.0</v>
      </c>
      <c r="B19" s="5" t="s">
        <v>138</v>
      </c>
      <c r="C19" s="6" t="s">
        <v>28</v>
      </c>
      <c r="D19" s="5" t="s">
        <v>139</v>
      </c>
      <c r="E19" s="8" t="s">
        <v>30</v>
      </c>
      <c r="F19" s="11"/>
      <c r="G19" s="5" t="s">
        <v>140</v>
      </c>
      <c r="H19" s="5" t="s">
        <v>32</v>
      </c>
      <c r="I19" s="5" t="s">
        <v>36</v>
      </c>
      <c r="J19" s="5" t="s">
        <v>84</v>
      </c>
      <c r="K19" s="5" t="s">
        <v>56</v>
      </c>
      <c r="L19" s="5" t="s">
        <v>51</v>
      </c>
      <c r="M19" s="5" t="s">
        <v>41</v>
      </c>
      <c r="N19" s="5" t="s">
        <v>106</v>
      </c>
      <c r="O19" s="5" t="s">
        <v>39</v>
      </c>
      <c r="P19" s="5" t="s">
        <v>76</v>
      </c>
      <c r="Q19" s="5" t="s">
        <v>53</v>
      </c>
      <c r="R19" s="5" t="s">
        <v>54</v>
      </c>
      <c r="T19" s="5" t="s">
        <v>78</v>
      </c>
      <c r="U19" s="5" t="s">
        <v>45</v>
      </c>
      <c r="V19" s="5" t="s">
        <v>46</v>
      </c>
    </row>
    <row r="20" ht="22.5" customHeight="1">
      <c r="A20" s="4">
        <v>18.0</v>
      </c>
      <c r="B20" s="5" t="s">
        <v>141</v>
      </c>
      <c r="C20" s="6" t="s">
        <v>28</v>
      </c>
      <c r="D20" s="7" t="s">
        <v>142</v>
      </c>
      <c r="E20" s="8" t="s">
        <v>143</v>
      </c>
      <c r="H20" s="5" t="s">
        <v>83</v>
      </c>
      <c r="I20" s="5" t="s">
        <v>112</v>
      </c>
      <c r="K20" s="5" t="s">
        <v>52</v>
      </c>
      <c r="P20" s="5" t="s">
        <v>60</v>
      </c>
      <c r="U20" s="5" t="s">
        <v>130</v>
      </c>
      <c r="V20" s="5" t="s">
        <v>46</v>
      </c>
    </row>
    <row r="21" ht="22.5" customHeight="1">
      <c r="A21" s="4">
        <v>19.0</v>
      </c>
      <c r="B21" s="5" t="s">
        <v>144</v>
      </c>
      <c r="C21" s="6" t="s">
        <v>28</v>
      </c>
      <c r="D21" s="7" t="s">
        <v>145</v>
      </c>
      <c r="E21" s="5" t="s">
        <v>146</v>
      </c>
      <c r="H21" s="5" t="s">
        <v>147</v>
      </c>
      <c r="I21" s="5" t="s">
        <v>131</v>
      </c>
      <c r="J21" s="5" t="s">
        <v>34</v>
      </c>
      <c r="L21" s="5" t="s">
        <v>36</v>
      </c>
      <c r="M21" s="5" t="s">
        <v>115</v>
      </c>
      <c r="P21" s="5" t="s">
        <v>76</v>
      </c>
      <c r="S21" s="5" t="s">
        <v>135</v>
      </c>
      <c r="U21" s="5" t="s">
        <v>111</v>
      </c>
      <c r="V21" s="5" t="s">
        <v>46</v>
      </c>
    </row>
    <row r="22" ht="22.5" customHeight="1">
      <c r="A22" s="4">
        <v>21.0</v>
      </c>
      <c r="B22" s="5" t="s">
        <v>148</v>
      </c>
      <c r="C22" s="6" t="s">
        <v>28</v>
      </c>
      <c r="D22" s="5" t="s">
        <v>149</v>
      </c>
      <c r="E22" s="5" t="s">
        <v>150</v>
      </c>
      <c r="H22" s="5" t="s">
        <v>61</v>
      </c>
      <c r="J22" s="5" t="s">
        <v>113</v>
      </c>
      <c r="K22" s="5" t="s">
        <v>149</v>
      </c>
      <c r="L22" s="5" t="s">
        <v>95</v>
      </c>
      <c r="M22" s="5" t="s">
        <v>41</v>
      </c>
      <c r="N22" s="5" t="s">
        <v>87</v>
      </c>
      <c r="O22" s="5" t="s">
        <v>151</v>
      </c>
      <c r="P22" s="5" t="s">
        <v>132</v>
      </c>
      <c r="Q22" s="5" t="s">
        <v>152</v>
      </c>
      <c r="R22" s="5" t="s">
        <v>153</v>
      </c>
      <c r="T22" s="5" t="s">
        <v>44</v>
      </c>
      <c r="U22" s="5" t="s">
        <v>92</v>
      </c>
      <c r="V22" s="5" t="s">
        <v>46</v>
      </c>
    </row>
    <row r="23" ht="22.5" customHeight="1">
      <c r="A23" s="4">
        <v>25.0</v>
      </c>
      <c r="B23" s="5" t="s">
        <v>154</v>
      </c>
      <c r="C23" s="6" t="s">
        <v>28</v>
      </c>
      <c r="D23" s="5" t="s">
        <v>155</v>
      </c>
      <c r="E23" s="8" t="s">
        <v>156</v>
      </c>
      <c r="H23" s="5" t="s">
        <v>88</v>
      </c>
      <c r="K23" s="5" t="s">
        <v>157</v>
      </c>
      <c r="L23" s="5" t="s">
        <v>74</v>
      </c>
      <c r="N23" s="5" t="s">
        <v>44</v>
      </c>
      <c r="O23" s="5" t="s">
        <v>77</v>
      </c>
      <c r="P23" s="5" t="s">
        <v>117</v>
      </c>
      <c r="V23" s="5" t="s">
        <v>46</v>
      </c>
    </row>
    <row r="24" ht="22.5" customHeight="1">
      <c r="A24" s="4">
        <v>26.0</v>
      </c>
      <c r="B24" s="5" t="s">
        <v>158</v>
      </c>
      <c r="C24" s="6" t="s">
        <v>28</v>
      </c>
      <c r="D24" s="5" t="s">
        <v>159</v>
      </c>
      <c r="E24" s="5" t="s">
        <v>146</v>
      </c>
      <c r="H24" s="5" t="s">
        <v>79</v>
      </c>
      <c r="J24" s="5" t="s">
        <v>84</v>
      </c>
      <c r="K24" s="5" t="s">
        <v>160</v>
      </c>
      <c r="L24" s="5" t="s">
        <v>95</v>
      </c>
      <c r="N24" s="5" t="s">
        <v>40</v>
      </c>
      <c r="O24" s="5" t="s">
        <v>116</v>
      </c>
      <c r="P24" s="5" t="s">
        <v>132</v>
      </c>
      <c r="Q24" s="5" t="s">
        <v>161</v>
      </c>
      <c r="R24" s="5" t="s">
        <v>162</v>
      </c>
      <c r="V24" s="5" t="s">
        <v>46</v>
      </c>
    </row>
    <row r="25" ht="22.5" customHeight="1">
      <c r="A25" s="4">
        <v>27.0</v>
      </c>
      <c r="B25" s="5" t="s">
        <v>163</v>
      </c>
      <c r="C25" s="6" t="s">
        <v>28</v>
      </c>
      <c r="D25" s="5" t="s">
        <v>164</v>
      </c>
      <c r="E25" s="5" t="s">
        <v>146</v>
      </c>
      <c r="H25" s="5" t="s">
        <v>83</v>
      </c>
      <c r="I25" s="5" t="s">
        <v>35</v>
      </c>
      <c r="K25" s="5" t="s">
        <v>66</v>
      </c>
      <c r="L25" s="5" t="s">
        <v>106</v>
      </c>
      <c r="N25" s="5" t="s">
        <v>104</v>
      </c>
      <c r="O25" s="5" t="s">
        <v>96</v>
      </c>
      <c r="V25" s="5" t="s">
        <v>46</v>
      </c>
    </row>
    <row r="26" ht="22.5" customHeight="1">
      <c r="A26" s="4">
        <v>28.0</v>
      </c>
      <c r="B26" s="5" t="s">
        <v>165</v>
      </c>
      <c r="C26" s="6" t="s">
        <v>28</v>
      </c>
      <c r="D26" s="5" t="s">
        <v>76</v>
      </c>
      <c r="E26" s="5" t="s">
        <v>49</v>
      </c>
      <c r="F26" s="5"/>
      <c r="G26" s="5" t="s">
        <v>166</v>
      </c>
      <c r="H26" s="5" t="s">
        <v>147</v>
      </c>
      <c r="I26" s="5" t="s">
        <v>93</v>
      </c>
      <c r="J26" s="5" t="s">
        <v>123</v>
      </c>
      <c r="K26" s="5" t="s">
        <v>55</v>
      </c>
      <c r="L26" s="5" t="s">
        <v>115</v>
      </c>
      <c r="M26" s="5" t="s">
        <v>65</v>
      </c>
      <c r="N26" s="5" t="s">
        <v>40</v>
      </c>
      <c r="O26" s="5" t="s">
        <v>63</v>
      </c>
      <c r="P26" s="5" t="s">
        <v>132</v>
      </c>
      <c r="Q26" s="5" t="s">
        <v>105</v>
      </c>
      <c r="R26" s="5" t="s">
        <v>54</v>
      </c>
      <c r="S26" s="5" t="s">
        <v>135</v>
      </c>
      <c r="T26" s="5" t="s">
        <v>76</v>
      </c>
      <c r="U26" s="5" t="s">
        <v>131</v>
      </c>
      <c r="V26" s="5" t="s">
        <v>46</v>
      </c>
    </row>
    <row r="27" ht="22.5" customHeight="1">
      <c r="A27" s="4">
        <v>20.0</v>
      </c>
      <c r="B27" s="5" t="s">
        <v>167</v>
      </c>
      <c r="C27" s="6" t="s">
        <v>28</v>
      </c>
      <c r="D27" s="5" t="s">
        <v>168</v>
      </c>
      <c r="E27" s="5" t="s">
        <v>169</v>
      </c>
      <c r="F27" s="5"/>
      <c r="G27" s="5" t="s">
        <v>31</v>
      </c>
      <c r="H27" s="5" t="s">
        <v>83</v>
      </c>
      <c r="I27" s="5" t="s">
        <v>170</v>
      </c>
      <c r="K27" s="5" t="s">
        <v>114</v>
      </c>
      <c r="L27" s="5" t="s">
        <v>93</v>
      </c>
      <c r="M27" s="5" t="s">
        <v>95</v>
      </c>
      <c r="N27" s="5" t="s">
        <v>75</v>
      </c>
      <c r="P27" s="5" t="s">
        <v>56</v>
      </c>
      <c r="U27" s="5" t="s">
        <v>32</v>
      </c>
      <c r="V27" s="5" t="s">
        <v>46</v>
      </c>
    </row>
    <row r="28" ht="22.5" customHeight="1">
      <c r="A28" s="4">
        <v>39.0</v>
      </c>
      <c r="B28" s="5" t="s">
        <v>171</v>
      </c>
      <c r="C28" s="6" t="s">
        <v>28</v>
      </c>
      <c r="D28" s="5" t="s">
        <v>160</v>
      </c>
      <c r="E28" s="5" t="s">
        <v>150</v>
      </c>
      <c r="G28" s="5" t="s">
        <v>172</v>
      </c>
      <c r="H28" s="5" t="s">
        <v>50</v>
      </c>
      <c r="I28" s="5" t="s">
        <v>93</v>
      </c>
      <c r="J28" s="5" t="s">
        <v>152</v>
      </c>
      <c r="K28" s="5" t="s">
        <v>160</v>
      </c>
      <c r="L28" s="5" t="s">
        <v>64</v>
      </c>
      <c r="M28" s="5" t="s">
        <v>53</v>
      </c>
      <c r="N28" s="5" t="s">
        <v>42</v>
      </c>
      <c r="O28" s="5" t="s">
        <v>149</v>
      </c>
      <c r="P28" s="5" t="s">
        <v>117</v>
      </c>
      <c r="Q28" s="5" t="s">
        <v>173</v>
      </c>
      <c r="R28" s="5" t="s">
        <v>162</v>
      </c>
      <c r="T28" s="5" t="s">
        <v>87</v>
      </c>
      <c r="U28" s="5" t="s">
        <v>88</v>
      </c>
      <c r="V28" s="5" t="s">
        <v>46</v>
      </c>
    </row>
    <row r="29" ht="22.5" customHeight="1">
      <c r="A29" s="4">
        <v>40.0</v>
      </c>
      <c r="B29" s="5" t="s">
        <v>174</v>
      </c>
      <c r="C29" s="6" t="s">
        <v>28</v>
      </c>
      <c r="D29" s="5" t="s">
        <v>175</v>
      </c>
      <c r="E29" s="5" t="s">
        <v>169</v>
      </c>
      <c r="G29" s="5" t="s">
        <v>176</v>
      </c>
      <c r="H29" s="5" t="s">
        <v>118</v>
      </c>
      <c r="I29" s="5" t="s">
        <v>33</v>
      </c>
      <c r="J29" s="5" t="s">
        <v>161</v>
      </c>
      <c r="K29" s="5" t="s">
        <v>170</v>
      </c>
      <c r="L29" s="5" t="s">
        <v>43</v>
      </c>
      <c r="M29" s="5" t="s">
        <v>65</v>
      </c>
      <c r="N29" s="5" t="s">
        <v>74</v>
      </c>
      <c r="O29" s="5" t="s">
        <v>160</v>
      </c>
      <c r="P29" s="5" t="s">
        <v>132</v>
      </c>
      <c r="R29" s="5" t="s">
        <v>162</v>
      </c>
      <c r="T29" s="5" t="s">
        <v>60</v>
      </c>
      <c r="U29" s="5" t="s">
        <v>121</v>
      </c>
      <c r="V29" s="5" t="s">
        <v>46</v>
      </c>
    </row>
    <row r="30" ht="22.5" customHeight="1">
      <c r="A30" s="4">
        <v>41.0</v>
      </c>
      <c r="B30" s="5" t="s">
        <v>177</v>
      </c>
      <c r="C30" s="6" t="s">
        <v>28</v>
      </c>
      <c r="D30" s="5" t="s">
        <v>153</v>
      </c>
      <c r="E30" s="5" t="s">
        <v>178</v>
      </c>
      <c r="G30" s="5" t="s">
        <v>179</v>
      </c>
      <c r="H30" s="5" t="s">
        <v>58</v>
      </c>
      <c r="I30" s="5" t="s">
        <v>102</v>
      </c>
      <c r="J30" s="5" t="s">
        <v>152</v>
      </c>
      <c r="K30" s="5" t="s">
        <v>162</v>
      </c>
      <c r="L30" s="5" t="s">
        <v>85</v>
      </c>
      <c r="M30" s="5" t="s">
        <v>106</v>
      </c>
      <c r="N30" s="5" t="s">
        <v>75</v>
      </c>
      <c r="O30" s="12" t="s">
        <v>149</v>
      </c>
      <c r="P30" s="5" t="s">
        <v>117</v>
      </c>
      <c r="Q30" s="5" t="s">
        <v>151</v>
      </c>
      <c r="R30" s="5" t="s">
        <v>153</v>
      </c>
      <c r="T30" s="5" t="s">
        <v>76</v>
      </c>
      <c r="U30" s="5" t="s">
        <v>52</v>
      </c>
      <c r="V30" s="5" t="s">
        <v>46</v>
      </c>
    </row>
    <row r="31" ht="22.5" customHeight="1">
      <c r="A31" s="4">
        <v>42.0</v>
      </c>
      <c r="B31" s="5" t="s">
        <v>180</v>
      </c>
      <c r="C31" s="6" t="s">
        <v>28</v>
      </c>
      <c r="D31" s="5" t="s">
        <v>181</v>
      </c>
      <c r="E31" s="5" t="s">
        <v>49</v>
      </c>
      <c r="G31" s="5" t="s">
        <v>182</v>
      </c>
      <c r="H31" s="5" t="s">
        <v>147</v>
      </c>
      <c r="I31" s="5" t="s">
        <v>112</v>
      </c>
      <c r="J31" s="5" t="s">
        <v>183</v>
      </c>
      <c r="K31" s="5" t="s">
        <v>184</v>
      </c>
      <c r="L31" s="5" t="s">
        <v>94</v>
      </c>
      <c r="M31" s="5" t="s">
        <v>37</v>
      </c>
      <c r="N31" s="5" t="s">
        <v>66</v>
      </c>
      <c r="O31" s="5" t="s">
        <v>73</v>
      </c>
      <c r="P31" s="5" t="s">
        <v>132</v>
      </c>
      <c r="R31" s="5" t="s">
        <v>38</v>
      </c>
      <c r="T31" s="5" t="s">
        <v>56</v>
      </c>
      <c r="U31" s="5" t="s">
        <v>121</v>
      </c>
      <c r="V31" s="5" t="s">
        <v>46</v>
      </c>
    </row>
    <row r="32" ht="22.5" customHeight="1">
      <c r="A32" s="4">
        <v>43.0</v>
      </c>
      <c r="B32" s="5" t="s">
        <v>185</v>
      </c>
      <c r="C32" s="6" t="s">
        <v>28</v>
      </c>
      <c r="D32" s="5" t="s">
        <v>186</v>
      </c>
      <c r="E32" s="5" t="s">
        <v>169</v>
      </c>
      <c r="G32" s="5" t="s">
        <v>187</v>
      </c>
      <c r="H32" s="5" t="s">
        <v>83</v>
      </c>
      <c r="I32" s="5" t="s">
        <v>62</v>
      </c>
      <c r="J32" s="5" t="s">
        <v>151</v>
      </c>
      <c r="K32" s="5" t="s">
        <v>153</v>
      </c>
      <c r="L32" s="5" t="s">
        <v>103</v>
      </c>
      <c r="M32" s="5" t="s">
        <v>53</v>
      </c>
      <c r="N32" s="5" t="s">
        <v>55</v>
      </c>
      <c r="O32" s="5" t="s">
        <v>63</v>
      </c>
      <c r="P32" s="5" t="s">
        <v>132</v>
      </c>
      <c r="Q32" s="5" t="s">
        <v>105</v>
      </c>
      <c r="R32" s="5" t="s">
        <v>157</v>
      </c>
      <c r="T32" s="5" t="s">
        <v>87</v>
      </c>
      <c r="U32" s="5" t="s">
        <v>111</v>
      </c>
      <c r="V32" s="5" t="s">
        <v>46</v>
      </c>
    </row>
    <row r="33" ht="22.5" customHeight="1">
      <c r="A33" s="4">
        <v>45.0</v>
      </c>
      <c r="B33" s="5" t="s">
        <v>188</v>
      </c>
      <c r="C33" s="6" t="s">
        <v>28</v>
      </c>
      <c r="D33" s="5" t="s">
        <v>184</v>
      </c>
      <c r="E33" s="5" t="s">
        <v>178</v>
      </c>
      <c r="G33" s="5" t="s">
        <v>120</v>
      </c>
      <c r="H33" s="5" t="s">
        <v>189</v>
      </c>
      <c r="I33" s="5" t="s">
        <v>170</v>
      </c>
      <c r="J33" s="5" t="s">
        <v>183</v>
      </c>
      <c r="K33" s="5" t="s">
        <v>184</v>
      </c>
      <c r="L33" s="5" t="s">
        <v>57</v>
      </c>
      <c r="M33" s="5" t="s">
        <v>42</v>
      </c>
      <c r="N33" s="5" t="s">
        <v>77</v>
      </c>
      <c r="O33" s="12" t="s">
        <v>160</v>
      </c>
      <c r="P33" s="5" t="s">
        <v>117</v>
      </c>
      <c r="Q33" s="5" t="s">
        <v>161</v>
      </c>
      <c r="R33" s="5" t="s">
        <v>157</v>
      </c>
      <c r="S33" s="5" t="s">
        <v>51</v>
      </c>
      <c r="T33" s="5" t="s">
        <v>78</v>
      </c>
      <c r="U33" s="5" t="s">
        <v>84</v>
      </c>
      <c r="V33" s="5" t="s">
        <v>46</v>
      </c>
    </row>
    <row r="34" ht="22.5" customHeight="1">
      <c r="A34" s="4">
        <v>2.0</v>
      </c>
      <c r="B34" s="5" t="s">
        <v>190</v>
      </c>
      <c r="C34" s="6" t="s">
        <v>28</v>
      </c>
      <c r="E34" s="5" t="s">
        <v>191</v>
      </c>
      <c r="V34" s="5" t="s">
        <v>46</v>
      </c>
    </row>
    <row r="35" ht="22.5" customHeight="1">
      <c r="A35" s="4">
        <v>3.0</v>
      </c>
      <c r="B35" s="5" t="s">
        <v>192</v>
      </c>
      <c r="C35" s="6" t="s">
        <v>28</v>
      </c>
      <c r="E35" s="5" t="s">
        <v>193</v>
      </c>
      <c r="V35" s="5" t="s">
        <v>46</v>
      </c>
    </row>
    <row r="36" ht="22.5" customHeight="1">
      <c r="A36" s="4">
        <v>4.0</v>
      </c>
      <c r="B36" s="5" t="s">
        <v>194</v>
      </c>
      <c r="C36" s="6" t="s">
        <v>28</v>
      </c>
      <c r="E36" s="10" t="s">
        <v>195</v>
      </c>
      <c r="V36" s="5" t="s">
        <v>46</v>
      </c>
    </row>
    <row r="37" ht="22.5" customHeight="1">
      <c r="A37" s="4">
        <v>5.0</v>
      </c>
      <c r="B37" s="5" t="s">
        <v>196</v>
      </c>
      <c r="C37" s="6" t="s">
        <v>28</v>
      </c>
      <c r="D37" s="5" t="s">
        <v>197</v>
      </c>
      <c r="V37" s="5" t="s">
        <v>46</v>
      </c>
    </row>
    <row r="38" ht="22.5" customHeight="1">
      <c r="A38" s="4">
        <v>6.0</v>
      </c>
      <c r="B38" s="5" t="s">
        <v>198</v>
      </c>
      <c r="C38" s="6" t="s">
        <v>28</v>
      </c>
      <c r="D38" s="5" t="s">
        <v>199</v>
      </c>
      <c r="E38" s="5" t="s">
        <v>200</v>
      </c>
      <c r="F38" s="5"/>
      <c r="V38" s="5" t="s">
        <v>46</v>
      </c>
    </row>
    <row r="39" ht="22.5" customHeight="1">
      <c r="A39" s="4">
        <v>1.0</v>
      </c>
      <c r="B39" s="5" t="s">
        <v>201</v>
      </c>
      <c r="C39" s="6" t="s">
        <v>202</v>
      </c>
    </row>
    <row r="40" ht="22.5" customHeight="1">
      <c r="A40" s="4">
        <v>22.0</v>
      </c>
      <c r="B40" s="5" t="s">
        <v>203</v>
      </c>
      <c r="C40" s="6" t="s">
        <v>202</v>
      </c>
    </row>
    <row r="41" ht="22.5" customHeight="1">
      <c r="A41" s="4">
        <v>46.0</v>
      </c>
      <c r="B41" s="5" t="s">
        <v>203</v>
      </c>
      <c r="C41" s="6" t="s">
        <v>202</v>
      </c>
    </row>
    <row r="42" ht="22.5" customHeight="1">
      <c r="A42" s="4">
        <v>24.0</v>
      </c>
      <c r="B42" s="5" t="s">
        <v>204</v>
      </c>
      <c r="C42" s="6" t="s">
        <v>202</v>
      </c>
    </row>
    <row r="43" ht="22.5" customHeight="1">
      <c r="A43" s="4">
        <v>36.0</v>
      </c>
      <c r="B43" s="5" t="s">
        <v>204</v>
      </c>
      <c r="C43" s="6" t="s">
        <v>202</v>
      </c>
    </row>
    <row r="44" ht="22.5" customHeight="1">
      <c r="A44" s="4">
        <v>48.0</v>
      </c>
      <c r="B44" s="5" t="s">
        <v>204</v>
      </c>
      <c r="C44" s="6" t="s">
        <v>202</v>
      </c>
    </row>
    <row r="45" ht="22.5" customHeight="1">
      <c r="A45" s="4">
        <v>9.0</v>
      </c>
      <c r="B45" s="5" t="s">
        <v>205</v>
      </c>
      <c r="C45" s="6" t="s">
        <v>202</v>
      </c>
    </row>
    <row r="46" ht="22.5" customHeight="1">
      <c r="A46" s="4">
        <v>23.0</v>
      </c>
      <c r="B46" s="5" t="s">
        <v>206</v>
      </c>
      <c r="C46" s="6" t="s">
        <v>202</v>
      </c>
    </row>
    <row r="47" ht="22.5" customHeight="1">
      <c r="A47" s="4">
        <v>35.0</v>
      </c>
      <c r="B47" s="5" t="s">
        <v>206</v>
      </c>
      <c r="C47" s="6" t="s">
        <v>202</v>
      </c>
    </row>
    <row r="48" ht="22.5" customHeight="1">
      <c r="A48" s="4">
        <v>47.0</v>
      </c>
      <c r="B48" s="5" t="s">
        <v>206</v>
      </c>
      <c r="C48" s="6" t="s">
        <v>202</v>
      </c>
    </row>
    <row r="49" ht="22.5" customHeight="1">
      <c r="A49" s="4">
        <v>8.0</v>
      </c>
      <c r="B49" s="5" t="s">
        <v>207</v>
      </c>
      <c r="C49" s="6" t="s">
        <v>202</v>
      </c>
    </row>
  </sheetData>
  <dataValidations>
    <dataValidation type="list" allowBlank="1" showDropDown="1" showErrorMessage="1" sqref="C2:C49">
      <formula1>"Power,I/O,Reset,Boot"</formula1>
    </dataValidation>
    <dataValidation type="custom" allowBlank="1" showDropDown="1" sqref="A2:A49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26.5"/>
    <col customWidth="1" min="4" max="4" width="18.13"/>
    <col customWidth="1" min="5" max="5" width="26.63"/>
    <col customWidth="1" min="6" max="6" width="17.75"/>
    <col customWidth="1" min="7" max="7" width="13.5"/>
    <col customWidth="1" min="11" max="13" width="18.88"/>
    <col customWidth="1" min="14" max="14" width="23.5"/>
    <col customWidth="1" min="15" max="15" width="24.13"/>
    <col customWidth="1" min="16" max="16" width="23.5"/>
    <col customWidth="1" min="17" max="17" width="18.88"/>
    <col customWidth="1" min="18" max="18" width="23.5"/>
    <col customWidth="1" min="19" max="19" width="18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2.5" customHeight="1">
      <c r="A2" s="4">
        <v>44.0</v>
      </c>
      <c r="B2" s="5" t="s">
        <v>22</v>
      </c>
      <c r="C2" s="6" t="s">
        <v>23</v>
      </c>
      <c r="E2" s="5" t="s">
        <v>24</v>
      </c>
    </row>
    <row r="3" ht="22.5" customHeight="1">
      <c r="A3" s="4">
        <v>7.0</v>
      </c>
      <c r="B3" s="5" t="s">
        <v>25</v>
      </c>
      <c r="C3" s="6" t="s">
        <v>26</v>
      </c>
      <c r="E3" s="5" t="s">
        <v>24</v>
      </c>
    </row>
    <row r="4" ht="22.5" customHeight="1">
      <c r="A4" s="4">
        <v>10.0</v>
      </c>
      <c r="B4" s="5" t="s">
        <v>27</v>
      </c>
      <c r="C4" s="6" t="s">
        <v>28</v>
      </c>
      <c r="D4" s="7" t="s">
        <v>29</v>
      </c>
      <c r="E4" s="8" t="s">
        <v>30</v>
      </c>
      <c r="F4" s="5"/>
      <c r="G4" s="5" t="s">
        <v>31</v>
      </c>
      <c r="H4" s="5" t="s">
        <v>32</v>
      </c>
      <c r="I4" s="5" t="s">
        <v>33</v>
      </c>
      <c r="J4" s="5" t="s">
        <v>34</v>
      </c>
      <c r="K4" s="5" t="s">
        <v>35</v>
      </c>
      <c r="L4" s="5" t="s">
        <v>36</v>
      </c>
      <c r="M4" s="5" t="s">
        <v>37</v>
      </c>
      <c r="N4" s="5" t="s">
        <v>38</v>
      </c>
      <c r="O4" s="5" t="s">
        <v>39</v>
      </c>
      <c r="P4" s="5" t="s">
        <v>40</v>
      </c>
      <c r="Q4" s="5" t="s">
        <v>41</v>
      </c>
      <c r="R4" s="5" t="s">
        <v>42</v>
      </c>
      <c r="S4" s="5" t="s">
        <v>43</v>
      </c>
      <c r="T4" s="5" t="s">
        <v>44</v>
      </c>
      <c r="U4" s="5" t="s">
        <v>45</v>
      </c>
      <c r="V4" s="5" t="s">
        <v>46</v>
      </c>
    </row>
    <row r="5" ht="22.5" customHeight="1">
      <c r="A5" s="4">
        <v>11.0</v>
      </c>
      <c r="B5" s="5" t="s">
        <v>47</v>
      </c>
      <c r="C5" s="6" t="s">
        <v>28</v>
      </c>
      <c r="D5" s="9" t="s">
        <v>48</v>
      </c>
      <c r="E5" s="5" t="s">
        <v>49</v>
      </c>
      <c r="F5" s="5" t="s">
        <v>208</v>
      </c>
      <c r="H5" s="5" t="s">
        <v>50</v>
      </c>
      <c r="K5" s="5" t="s">
        <v>51</v>
      </c>
      <c r="L5" s="5" t="s">
        <v>52</v>
      </c>
      <c r="M5" s="5" t="s">
        <v>53</v>
      </c>
      <c r="N5" s="5" t="s">
        <v>54</v>
      </c>
      <c r="O5" s="5" t="s">
        <v>55</v>
      </c>
      <c r="P5" s="5" t="s">
        <v>56</v>
      </c>
      <c r="R5" s="5" t="s">
        <v>57</v>
      </c>
      <c r="U5" s="5" t="s">
        <v>58</v>
      </c>
      <c r="V5" s="5" t="s">
        <v>46</v>
      </c>
    </row>
    <row r="6" ht="22.5" customHeight="1">
      <c r="A6" s="4">
        <v>12.0</v>
      </c>
      <c r="B6" s="5" t="s">
        <v>59</v>
      </c>
      <c r="C6" s="6" t="s">
        <v>28</v>
      </c>
      <c r="D6" s="7" t="s">
        <v>60</v>
      </c>
      <c r="E6" s="5" t="s">
        <v>49</v>
      </c>
      <c r="H6" s="5" t="s">
        <v>61</v>
      </c>
      <c r="I6" s="5" t="s">
        <v>62</v>
      </c>
      <c r="J6" s="5" t="s">
        <v>63</v>
      </c>
      <c r="K6" s="5" t="s">
        <v>64</v>
      </c>
      <c r="L6" s="5" t="s">
        <v>36</v>
      </c>
      <c r="M6" s="5" t="s">
        <v>65</v>
      </c>
      <c r="N6" s="5" t="s">
        <v>60</v>
      </c>
      <c r="O6" s="5" t="s">
        <v>66</v>
      </c>
      <c r="U6" s="5" t="s">
        <v>67</v>
      </c>
      <c r="V6" s="5" t="s">
        <v>46</v>
      </c>
    </row>
    <row r="7" ht="22.5" customHeight="1">
      <c r="A7" s="4">
        <v>13.0</v>
      </c>
      <c r="B7" s="5" t="s">
        <v>68</v>
      </c>
      <c r="C7" s="6" t="s">
        <v>28</v>
      </c>
      <c r="D7" s="5" t="s">
        <v>69</v>
      </c>
      <c r="E7" s="5" t="s">
        <v>70</v>
      </c>
      <c r="F7" s="5" t="s">
        <v>71</v>
      </c>
      <c r="H7" s="5" t="s">
        <v>72</v>
      </c>
      <c r="J7" s="5" t="s">
        <v>73</v>
      </c>
      <c r="K7" s="5" t="s">
        <v>43</v>
      </c>
      <c r="L7" s="5" t="s">
        <v>74</v>
      </c>
      <c r="M7" s="5" t="s">
        <v>75</v>
      </c>
      <c r="N7" s="5" t="s">
        <v>76</v>
      </c>
      <c r="O7" s="5" t="s">
        <v>77</v>
      </c>
      <c r="T7" s="5" t="s">
        <v>78</v>
      </c>
      <c r="U7" s="5" t="s">
        <v>79</v>
      </c>
      <c r="V7" s="5" t="s">
        <v>46</v>
      </c>
    </row>
    <row r="8" ht="22.5" customHeight="1">
      <c r="A8" s="4">
        <v>14.0</v>
      </c>
      <c r="B8" s="5" t="s">
        <v>80</v>
      </c>
      <c r="C8" s="6" t="s">
        <v>28</v>
      </c>
      <c r="D8" s="7" t="s">
        <v>81</v>
      </c>
      <c r="E8" s="5" t="s">
        <v>82</v>
      </c>
      <c r="F8" s="5" t="s">
        <v>71</v>
      </c>
      <c r="H8" s="5" t="s">
        <v>83</v>
      </c>
      <c r="J8" s="5" t="s">
        <v>84</v>
      </c>
      <c r="K8" s="5" t="s">
        <v>85</v>
      </c>
      <c r="L8" s="5" t="s">
        <v>51</v>
      </c>
      <c r="M8" s="5" t="s">
        <v>41</v>
      </c>
      <c r="N8" s="5" t="s">
        <v>56</v>
      </c>
      <c r="O8" s="5" t="s">
        <v>86</v>
      </c>
      <c r="Q8" s="5" t="s">
        <v>65</v>
      </c>
      <c r="T8" s="5" t="s">
        <v>87</v>
      </c>
      <c r="U8" s="5" t="s">
        <v>88</v>
      </c>
      <c r="V8" s="5" t="s">
        <v>46</v>
      </c>
    </row>
    <row r="9" ht="22.5" customHeight="1">
      <c r="A9" s="4">
        <v>15.0</v>
      </c>
      <c r="B9" s="5" t="s">
        <v>89</v>
      </c>
      <c r="C9" s="6" t="s">
        <v>28</v>
      </c>
      <c r="D9" s="5" t="s">
        <v>90</v>
      </c>
      <c r="F9" s="5" t="s">
        <v>71</v>
      </c>
      <c r="G9" s="5" t="s">
        <v>91</v>
      </c>
      <c r="H9" s="5" t="s">
        <v>32</v>
      </c>
      <c r="I9" s="5" t="s">
        <v>35</v>
      </c>
      <c r="J9" s="5" t="s">
        <v>92</v>
      </c>
      <c r="K9" s="5" t="s">
        <v>93</v>
      </c>
      <c r="L9" s="5" t="s">
        <v>64</v>
      </c>
      <c r="M9" s="5" t="s">
        <v>94</v>
      </c>
      <c r="N9" s="5" t="s">
        <v>95</v>
      </c>
      <c r="O9" s="5" t="s">
        <v>96</v>
      </c>
      <c r="P9" s="5" t="s">
        <v>60</v>
      </c>
      <c r="Q9" s="5" t="s">
        <v>75</v>
      </c>
      <c r="R9" s="5" t="s">
        <v>38</v>
      </c>
      <c r="T9" s="5" t="s">
        <v>78</v>
      </c>
      <c r="U9" s="5" t="s">
        <v>45</v>
      </c>
      <c r="V9" s="5" t="s">
        <v>46</v>
      </c>
    </row>
    <row r="10" ht="22.5" customHeight="1">
      <c r="A10" s="4">
        <v>16.0</v>
      </c>
      <c r="B10" s="5" t="s">
        <v>97</v>
      </c>
      <c r="C10" s="6" t="s">
        <v>28</v>
      </c>
      <c r="D10" s="7" t="s">
        <v>98</v>
      </c>
      <c r="E10" s="8" t="s">
        <v>30</v>
      </c>
      <c r="H10" s="5" t="s">
        <v>88</v>
      </c>
      <c r="I10" s="5" t="s">
        <v>33</v>
      </c>
      <c r="L10" s="5" t="s">
        <v>43</v>
      </c>
      <c r="V10" s="5" t="s">
        <v>46</v>
      </c>
    </row>
    <row r="11" ht="22.5" customHeight="1">
      <c r="A11" s="4">
        <v>17.0</v>
      </c>
      <c r="B11" s="5" t="s">
        <v>99</v>
      </c>
      <c r="C11" s="6" t="s">
        <v>28</v>
      </c>
      <c r="D11" s="7" t="s">
        <v>100</v>
      </c>
      <c r="E11" s="8" t="s">
        <v>30</v>
      </c>
      <c r="F11" s="11" t="s">
        <v>209</v>
      </c>
      <c r="G11" s="5" t="s">
        <v>101</v>
      </c>
      <c r="H11" s="5" t="s">
        <v>79</v>
      </c>
      <c r="I11" s="5" t="s">
        <v>102</v>
      </c>
      <c r="J11" s="5" t="s">
        <v>34</v>
      </c>
      <c r="K11" s="5" t="s">
        <v>94</v>
      </c>
      <c r="L11" s="5" t="s">
        <v>85</v>
      </c>
      <c r="M11" s="5" t="s">
        <v>42</v>
      </c>
      <c r="N11" s="5" t="s">
        <v>103</v>
      </c>
      <c r="O11" s="5" t="s">
        <v>86</v>
      </c>
      <c r="P11" s="5" t="s">
        <v>104</v>
      </c>
      <c r="Q11" s="5" t="s">
        <v>105</v>
      </c>
      <c r="R11" s="5" t="s">
        <v>106</v>
      </c>
      <c r="T11" s="5" t="s">
        <v>44</v>
      </c>
      <c r="U11" s="5" t="s">
        <v>61</v>
      </c>
      <c r="V11" s="5" t="s">
        <v>46</v>
      </c>
    </row>
    <row r="12" ht="22.5" customHeight="1">
      <c r="A12" s="4">
        <v>29.0</v>
      </c>
      <c r="B12" s="5" t="s">
        <v>107</v>
      </c>
      <c r="C12" s="6" t="s">
        <v>28</v>
      </c>
      <c r="D12" s="5" t="s">
        <v>108</v>
      </c>
      <c r="E12" s="5" t="s">
        <v>109</v>
      </c>
      <c r="F12" s="5" t="s">
        <v>209</v>
      </c>
      <c r="G12" s="5" t="s">
        <v>110</v>
      </c>
      <c r="H12" s="5" t="s">
        <v>111</v>
      </c>
      <c r="I12" s="5" t="s">
        <v>112</v>
      </c>
      <c r="J12" s="5" t="s">
        <v>113</v>
      </c>
      <c r="K12" s="5" t="s">
        <v>60</v>
      </c>
      <c r="L12" s="5" t="s">
        <v>114</v>
      </c>
      <c r="M12" s="5" t="s">
        <v>115</v>
      </c>
      <c r="N12" s="5" t="s">
        <v>77</v>
      </c>
      <c r="O12" s="5" t="s">
        <v>116</v>
      </c>
      <c r="P12" s="5" t="s">
        <v>117</v>
      </c>
      <c r="Q12" s="5" t="s">
        <v>108</v>
      </c>
      <c r="R12" s="5" t="s">
        <v>74</v>
      </c>
      <c r="S12" s="5" t="s">
        <v>64</v>
      </c>
      <c r="T12" s="5" t="s">
        <v>87</v>
      </c>
      <c r="U12" s="5" t="s">
        <v>118</v>
      </c>
      <c r="V12" s="5" t="s">
        <v>46</v>
      </c>
    </row>
    <row r="13" ht="22.5" customHeight="1">
      <c r="A13" s="4">
        <v>30.0</v>
      </c>
      <c r="B13" s="5" t="s">
        <v>119</v>
      </c>
      <c r="C13" s="6" t="s">
        <v>28</v>
      </c>
      <c r="D13" s="5" t="s">
        <v>66</v>
      </c>
      <c r="F13" s="5" t="s">
        <v>209</v>
      </c>
      <c r="G13" s="5" t="s">
        <v>120</v>
      </c>
      <c r="H13" s="5" t="s">
        <v>121</v>
      </c>
      <c r="J13" s="5" t="s">
        <v>73</v>
      </c>
      <c r="K13" s="5" t="s">
        <v>43</v>
      </c>
      <c r="L13" s="5" t="s">
        <v>95</v>
      </c>
      <c r="N13" s="5" t="s">
        <v>66</v>
      </c>
      <c r="Q13" s="5" t="s">
        <v>75</v>
      </c>
      <c r="T13" s="5" t="s">
        <v>44</v>
      </c>
      <c r="V13" s="5" t="s">
        <v>46</v>
      </c>
    </row>
    <row r="14" ht="22.5" customHeight="1">
      <c r="A14" s="4">
        <v>31.0</v>
      </c>
      <c r="B14" s="5" t="s">
        <v>122</v>
      </c>
      <c r="C14" s="6" t="s">
        <v>28</v>
      </c>
      <c r="D14" s="5" t="s">
        <v>55</v>
      </c>
      <c r="F14" s="5" t="s">
        <v>209</v>
      </c>
      <c r="H14" s="5" t="s">
        <v>58</v>
      </c>
      <c r="J14" s="5" t="s">
        <v>63</v>
      </c>
      <c r="K14" s="5" t="s">
        <v>123</v>
      </c>
      <c r="N14" s="5" t="s">
        <v>55</v>
      </c>
      <c r="V14" s="5" t="s">
        <v>46</v>
      </c>
    </row>
    <row r="15" ht="22.5" customHeight="1">
      <c r="A15" s="4">
        <v>32.0</v>
      </c>
      <c r="B15" s="5" t="s">
        <v>124</v>
      </c>
      <c r="C15" s="6" t="s">
        <v>28</v>
      </c>
      <c r="D15" s="5" t="s">
        <v>125</v>
      </c>
      <c r="F15" s="5" t="s">
        <v>209</v>
      </c>
      <c r="G15" s="5" t="s">
        <v>126</v>
      </c>
      <c r="H15" s="5" t="s">
        <v>67</v>
      </c>
      <c r="I15" s="5" t="s">
        <v>102</v>
      </c>
      <c r="J15" s="5" t="s">
        <v>116</v>
      </c>
      <c r="K15" s="5" t="s">
        <v>76</v>
      </c>
      <c r="L15" s="5" t="s">
        <v>74</v>
      </c>
      <c r="M15" s="5" t="s">
        <v>37</v>
      </c>
      <c r="N15" s="5" t="s">
        <v>39</v>
      </c>
      <c r="O15" s="5" t="s">
        <v>55</v>
      </c>
      <c r="P15" s="5" t="s">
        <v>117</v>
      </c>
      <c r="Q15" s="5" t="s">
        <v>125</v>
      </c>
      <c r="T15" s="5" t="s">
        <v>104</v>
      </c>
      <c r="U15" s="5" t="s">
        <v>92</v>
      </c>
      <c r="V15" s="5" t="s">
        <v>46</v>
      </c>
    </row>
    <row r="16" ht="22.5" customHeight="1">
      <c r="A16" s="4">
        <v>33.0</v>
      </c>
      <c r="B16" s="5" t="s">
        <v>127</v>
      </c>
      <c r="C16" s="6" t="s">
        <v>28</v>
      </c>
      <c r="D16" s="5" t="s">
        <v>128</v>
      </c>
      <c r="F16" s="5" t="s">
        <v>209</v>
      </c>
      <c r="G16" s="5" t="s">
        <v>129</v>
      </c>
      <c r="H16" s="5" t="s">
        <v>130</v>
      </c>
      <c r="I16" s="5" t="s">
        <v>131</v>
      </c>
      <c r="J16" s="5" t="s">
        <v>96</v>
      </c>
      <c r="K16" s="5" t="s">
        <v>60</v>
      </c>
      <c r="L16" s="5" t="s">
        <v>95</v>
      </c>
      <c r="M16" s="5" t="s">
        <v>57</v>
      </c>
      <c r="N16" s="5" t="s">
        <v>86</v>
      </c>
      <c r="O16" s="5" t="s">
        <v>66</v>
      </c>
      <c r="P16" s="5" t="s">
        <v>132</v>
      </c>
      <c r="Q16" s="5" t="s">
        <v>128</v>
      </c>
      <c r="T16" s="5" t="s">
        <v>78</v>
      </c>
      <c r="U16" s="5" t="s">
        <v>72</v>
      </c>
      <c r="V16" s="5" t="s">
        <v>46</v>
      </c>
    </row>
    <row r="17" ht="22.5" customHeight="1">
      <c r="A17" s="4">
        <v>34.0</v>
      </c>
      <c r="B17" s="5" t="s">
        <v>133</v>
      </c>
      <c r="C17" s="6" t="s">
        <v>28</v>
      </c>
      <c r="D17" s="5" t="s">
        <v>134</v>
      </c>
      <c r="E17" s="5" t="s">
        <v>24</v>
      </c>
      <c r="F17" s="5"/>
      <c r="G17" s="5" t="s">
        <v>134</v>
      </c>
      <c r="H17" s="5" t="s">
        <v>111</v>
      </c>
      <c r="I17" s="5" t="s">
        <v>93</v>
      </c>
      <c r="N17" s="5" t="s">
        <v>55</v>
      </c>
      <c r="O17" s="5" t="s">
        <v>116</v>
      </c>
      <c r="P17" s="5" t="s">
        <v>76</v>
      </c>
      <c r="S17" s="5" t="s">
        <v>135</v>
      </c>
      <c r="U17" s="5" t="s">
        <v>130</v>
      </c>
      <c r="V17" s="5" t="s">
        <v>46</v>
      </c>
    </row>
    <row r="18" ht="22.5" customHeight="1">
      <c r="A18" s="4">
        <v>37.0</v>
      </c>
      <c r="B18" s="5" t="s">
        <v>136</v>
      </c>
      <c r="C18" s="6" t="s">
        <v>28</v>
      </c>
      <c r="D18" s="5" t="s">
        <v>137</v>
      </c>
      <c r="E18" s="5" t="s">
        <v>24</v>
      </c>
      <c r="F18" s="5"/>
      <c r="G18" s="5" t="s">
        <v>137</v>
      </c>
      <c r="H18" s="5" t="s">
        <v>121</v>
      </c>
      <c r="I18" s="5" t="s">
        <v>33</v>
      </c>
      <c r="J18" s="5" t="s">
        <v>84</v>
      </c>
      <c r="K18" s="5" t="s">
        <v>35</v>
      </c>
      <c r="N18" s="5" t="s">
        <v>66</v>
      </c>
      <c r="O18" s="5" t="s">
        <v>96</v>
      </c>
      <c r="P18" s="5" t="s">
        <v>60</v>
      </c>
      <c r="U18" s="5" t="s">
        <v>118</v>
      </c>
      <c r="V18" s="5" t="s">
        <v>46</v>
      </c>
    </row>
    <row r="19" ht="22.5" customHeight="1">
      <c r="A19" s="4">
        <v>38.0</v>
      </c>
      <c r="B19" s="5" t="s">
        <v>138</v>
      </c>
      <c r="C19" s="6" t="s">
        <v>28</v>
      </c>
      <c r="D19" s="5" t="s">
        <v>139</v>
      </c>
      <c r="E19" s="8" t="s">
        <v>30</v>
      </c>
      <c r="F19" s="11" t="s">
        <v>209</v>
      </c>
      <c r="G19" s="5" t="s">
        <v>140</v>
      </c>
      <c r="H19" s="5" t="s">
        <v>32</v>
      </c>
      <c r="I19" s="5" t="s">
        <v>36</v>
      </c>
      <c r="J19" s="5" t="s">
        <v>84</v>
      </c>
      <c r="K19" s="5" t="s">
        <v>56</v>
      </c>
      <c r="L19" s="5" t="s">
        <v>51</v>
      </c>
      <c r="M19" s="5" t="s">
        <v>41</v>
      </c>
      <c r="N19" s="5" t="s">
        <v>106</v>
      </c>
      <c r="O19" s="5" t="s">
        <v>39</v>
      </c>
      <c r="P19" s="5" t="s">
        <v>76</v>
      </c>
      <c r="Q19" s="5" t="s">
        <v>53</v>
      </c>
      <c r="R19" s="5" t="s">
        <v>54</v>
      </c>
      <c r="T19" s="5" t="s">
        <v>78</v>
      </c>
      <c r="U19" s="5" t="s">
        <v>45</v>
      </c>
      <c r="V19" s="5" t="s">
        <v>46</v>
      </c>
    </row>
    <row r="20" ht="22.5" customHeight="1">
      <c r="A20" s="4">
        <v>18.0</v>
      </c>
      <c r="B20" s="5" t="s">
        <v>141</v>
      </c>
      <c r="C20" s="6" t="s">
        <v>28</v>
      </c>
      <c r="D20" s="7" t="s">
        <v>142</v>
      </c>
      <c r="E20" s="8" t="s">
        <v>143</v>
      </c>
      <c r="H20" s="5" t="s">
        <v>83</v>
      </c>
      <c r="I20" s="5" t="s">
        <v>112</v>
      </c>
      <c r="K20" s="5" t="s">
        <v>52</v>
      </c>
      <c r="P20" s="5" t="s">
        <v>60</v>
      </c>
      <c r="U20" s="5" t="s">
        <v>130</v>
      </c>
      <c r="V20" s="5" t="s">
        <v>46</v>
      </c>
    </row>
    <row r="21" ht="22.5" customHeight="1">
      <c r="A21" s="4">
        <v>19.0</v>
      </c>
      <c r="B21" s="5" t="s">
        <v>144</v>
      </c>
      <c r="C21" s="6" t="s">
        <v>28</v>
      </c>
      <c r="D21" s="7" t="s">
        <v>145</v>
      </c>
      <c r="E21" s="5" t="s">
        <v>146</v>
      </c>
      <c r="H21" s="5" t="s">
        <v>147</v>
      </c>
      <c r="I21" s="5" t="s">
        <v>131</v>
      </c>
      <c r="J21" s="5" t="s">
        <v>34</v>
      </c>
      <c r="L21" s="5" t="s">
        <v>36</v>
      </c>
      <c r="M21" s="5" t="s">
        <v>115</v>
      </c>
      <c r="P21" s="5" t="s">
        <v>76</v>
      </c>
      <c r="S21" s="5" t="s">
        <v>135</v>
      </c>
      <c r="U21" s="5" t="s">
        <v>111</v>
      </c>
      <c r="V21" s="5" t="s">
        <v>46</v>
      </c>
    </row>
    <row r="22" ht="22.5" customHeight="1">
      <c r="A22" s="4">
        <v>21.0</v>
      </c>
      <c r="B22" s="5" t="s">
        <v>148</v>
      </c>
      <c r="C22" s="6" t="s">
        <v>28</v>
      </c>
      <c r="D22" s="5" t="s">
        <v>149</v>
      </c>
      <c r="E22" s="5" t="s">
        <v>150</v>
      </c>
      <c r="F22" s="5" t="s">
        <v>209</v>
      </c>
      <c r="H22" s="5" t="s">
        <v>61</v>
      </c>
      <c r="J22" s="5" t="s">
        <v>113</v>
      </c>
      <c r="K22" s="5" t="s">
        <v>149</v>
      </c>
      <c r="L22" s="5" t="s">
        <v>95</v>
      </c>
      <c r="M22" s="5" t="s">
        <v>41</v>
      </c>
      <c r="N22" s="5" t="s">
        <v>87</v>
      </c>
      <c r="O22" s="5" t="s">
        <v>151</v>
      </c>
      <c r="P22" s="5" t="s">
        <v>132</v>
      </c>
      <c r="Q22" s="5" t="s">
        <v>152</v>
      </c>
      <c r="R22" s="5" t="s">
        <v>153</v>
      </c>
      <c r="T22" s="5" t="s">
        <v>44</v>
      </c>
      <c r="U22" s="5" t="s">
        <v>92</v>
      </c>
      <c r="V22" s="5" t="s">
        <v>46</v>
      </c>
    </row>
    <row r="23" ht="22.5" customHeight="1">
      <c r="A23" s="4">
        <v>25.0</v>
      </c>
      <c r="B23" s="5" t="s">
        <v>154</v>
      </c>
      <c r="C23" s="6" t="s">
        <v>28</v>
      </c>
      <c r="D23" s="5" t="s">
        <v>155</v>
      </c>
      <c r="E23" s="8" t="s">
        <v>156</v>
      </c>
      <c r="H23" s="5" t="s">
        <v>88</v>
      </c>
      <c r="K23" s="5" t="s">
        <v>157</v>
      </c>
      <c r="L23" s="5" t="s">
        <v>74</v>
      </c>
      <c r="N23" s="5" t="s">
        <v>44</v>
      </c>
      <c r="O23" s="5" t="s">
        <v>77</v>
      </c>
      <c r="P23" s="5" t="s">
        <v>117</v>
      </c>
      <c r="V23" s="5" t="s">
        <v>46</v>
      </c>
    </row>
    <row r="24" ht="22.5" customHeight="1">
      <c r="A24" s="4">
        <v>26.0</v>
      </c>
      <c r="B24" s="5" t="s">
        <v>158</v>
      </c>
      <c r="C24" s="6" t="s">
        <v>28</v>
      </c>
      <c r="D24" s="5" t="s">
        <v>159</v>
      </c>
      <c r="E24" s="5" t="s">
        <v>146</v>
      </c>
      <c r="H24" s="5" t="s">
        <v>79</v>
      </c>
      <c r="J24" s="5" t="s">
        <v>84</v>
      </c>
      <c r="K24" s="5" t="s">
        <v>160</v>
      </c>
      <c r="L24" s="5" t="s">
        <v>95</v>
      </c>
      <c r="N24" s="5" t="s">
        <v>40</v>
      </c>
      <c r="O24" s="5" t="s">
        <v>116</v>
      </c>
      <c r="P24" s="5" t="s">
        <v>132</v>
      </c>
      <c r="Q24" s="5" t="s">
        <v>161</v>
      </c>
      <c r="R24" s="5" t="s">
        <v>162</v>
      </c>
      <c r="V24" s="5" t="s">
        <v>46</v>
      </c>
    </row>
    <row r="25" ht="22.5" customHeight="1">
      <c r="A25" s="4">
        <v>27.0</v>
      </c>
      <c r="B25" s="5" t="s">
        <v>163</v>
      </c>
      <c r="C25" s="6" t="s">
        <v>28</v>
      </c>
      <c r="D25" s="5" t="s">
        <v>164</v>
      </c>
      <c r="E25" s="5" t="s">
        <v>146</v>
      </c>
      <c r="H25" s="5" t="s">
        <v>83</v>
      </c>
      <c r="I25" s="5" t="s">
        <v>35</v>
      </c>
      <c r="K25" s="5" t="s">
        <v>66</v>
      </c>
      <c r="L25" s="5" t="s">
        <v>106</v>
      </c>
      <c r="N25" s="5" t="s">
        <v>104</v>
      </c>
      <c r="O25" s="5" t="s">
        <v>96</v>
      </c>
      <c r="V25" s="5" t="s">
        <v>46</v>
      </c>
    </row>
    <row r="26" ht="22.5" customHeight="1">
      <c r="A26" s="4">
        <v>28.0</v>
      </c>
      <c r="B26" s="5" t="s">
        <v>165</v>
      </c>
      <c r="C26" s="6" t="s">
        <v>28</v>
      </c>
      <c r="D26" s="5" t="s">
        <v>76</v>
      </c>
      <c r="E26" s="5" t="s">
        <v>49</v>
      </c>
      <c r="F26" s="5"/>
      <c r="G26" s="5" t="s">
        <v>166</v>
      </c>
      <c r="H26" s="5" t="s">
        <v>147</v>
      </c>
      <c r="I26" s="5" t="s">
        <v>93</v>
      </c>
      <c r="J26" s="5" t="s">
        <v>123</v>
      </c>
      <c r="K26" s="5" t="s">
        <v>55</v>
      </c>
      <c r="L26" s="5" t="s">
        <v>115</v>
      </c>
      <c r="M26" s="5" t="s">
        <v>65</v>
      </c>
      <c r="N26" s="5" t="s">
        <v>40</v>
      </c>
      <c r="O26" s="5" t="s">
        <v>63</v>
      </c>
      <c r="P26" s="5" t="s">
        <v>132</v>
      </c>
      <c r="Q26" s="5" t="s">
        <v>105</v>
      </c>
      <c r="R26" s="5" t="s">
        <v>54</v>
      </c>
      <c r="S26" s="5" t="s">
        <v>135</v>
      </c>
      <c r="T26" s="5" t="s">
        <v>76</v>
      </c>
      <c r="U26" s="5" t="s">
        <v>131</v>
      </c>
      <c r="V26" s="5" t="s">
        <v>46</v>
      </c>
    </row>
    <row r="27" ht="22.5" customHeight="1">
      <c r="A27" s="4">
        <v>20.0</v>
      </c>
      <c r="B27" s="5" t="s">
        <v>167</v>
      </c>
      <c r="C27" s="6" t="s">
        <v>28</v>
      </c>
      <c r="D27" s="5" t="s">
        <v>168</v>
      </c>
      <c r="E27" s="5" t="s">
        <v>169</v>
      </c>
      <c r="F27" s="5"/>
      <c r="G27" s="5" t="s">
        <v>31</v>
      </c>
      <c r="H27" s="5" t="s">
        <v>83</v>
      </c>
      <c r="I27" s="5" t="s">
        <v>170</v>
      </c>
      <c r="K27" s="5" t="s">
        <v>114</v>
      </c>
      <c r="L27" s="5" t="s">
        <v>93</v>
      </c>
      <c r="M27" s="5" t="s">
        <v>95</v>
      </c>
      <c r="N27" s="5" t="s">
        <v>75</v>
      </c>
      <c r="P27" s="5" t="s">
        <v>56</v>
      </c>
      <c r="U27" s="5" t="s">
        <v>32</v>
      </c>
      <c r="V27" s="5" t="s">
        <v>46</v>
      </c>
    </row>
    <row r="28" ht="22.5" customHeight="1">
      <c r="A28" s="4">
        <v>39.0</v>
      </c>
      <c r="B28" s="5" t="s">
        <v>171</v>
      </c>
      <c r="C28" s="6" t="s">
        <v>28</v>
      </c>
      <c r="D28" s="5" t="s">
        <v>160</v>
      </c>
      <c r="E28" s="5" t="s">
        <v>150</v>
      </c>
      <c r="F28" s="5" t="s">
        <v>209</v>
      </c>
      <c r="G28" s="5" t="s">
        <v>172</v>
      </c>
      <c r="H28" s="5" t="s">
        <v>50</v>
      </c>
      <c r="I28" s="5" t="s">
        <v>93</v>
      </c>
      <c r="J28" s="5" t="s">
        <v>152</v>
      </c>
      <c r="K28" s="5" t="s">
        <v>160</v>
      </c>
      <c r="L28" s="5" t="s">
        <v>64</v>
      </c>
      <c r="M28" s="5" t="s">
        <v>53</v>
      </c>
      <c r="N28" s="5" t="s">
        <v>42</v>
      </c>
      <c r="O28" s="5" t="s">
        <v>149</v>
      </c>
      <c r="P28" s="5" t="s">
        <v>117</v>
      </c>
      <c r="Q28" s="5" t="s">
        <v>173</v>
      </c>
      <c r="R28" s="5" t="s">
        <v>162</v>
      </c>
      <c r="T28" s="5" t="s">
        <v>87</v>
      </c>
      <c r="U28" s="5" t="s">
        <v>88</v>
      </c>
      <c r="V28" s="5" t="s">
        <v>46</v>
      </c>
    </row>
    <row r="29" ht="22.5" customHeight="1">
      <c r="A29" s="4">
        <v>40.0</v>
      </c>
      <c r="B29" s="5" t="s">
        <v>174</v>
      </c>
      <c r="C29" s="6" t="s">
        <v>28</v>
      </c>
      <c r="D29" s="5" t="s">
        <v>175</v>
      </c>
      <c r="E29" s="5" t="s">
        <v>169</v>
      </c>
      <c r="F29" s="5"/>
      <c r="G29" s="5" t="s">
        <v>176</v>
      </c>
      <c r="H29" s="5" t="s">
        <v>118</v>
      </c>
      <c r="I29" s="5" t="s">
        <v>33</v>
      </c>
      <c r="J29" s="5" t="s">
        <v>161</v>
      </c>
      <c r="K29" s="5" t="s">
        <v>170</v>
      </c>
      <c r="L29" s="5" t="s">
        <v>43</v>
      </c>
      <c r="M29" s="5" t="s">
        <v>65</v>
      </c>
      <c r="N29" s="5" t="s">
        <v>74</v>
      </c>
      <c r="O29" s="5" t="s">
        <v>160</v>
      </c>
      <c r="P29" s="5" t="s">
        <v>132</v>
      </c>
      <c r="R29" s="5" t="s">
        <v>162</v>
      </c>
      <c r="T29" s="5" t="s">
        <v>60</v>
      </c>
      <c r="U29" s="5" t="s">
        <v>121</v>
      </c>
      <c r="V29" s="5" t="s">
        <v>46</v>
      </c>
    </row>
    <row r="30" ht="22.5" customHeight="1">
      <c r="A30" s="4">
        <v>41.0</v>
      </c>
      <c r="B30" s="5" t="s">
        <v>177</v>
      </c>
      <c r="C30" s="6" t="s">
        <v>28</v>
      </c>
      <c r="D30" s="5" t="s">
        <v>153</v>
      </c>
      <c r="E30" s="5" t="s">
        <v>178</v>
      </c>
      <c r="F30" s="5" t="s">
        <v>209</v>
      </c>
      <c r="G30" s="5" t="s">
        <v>179</v>
      </c>
      <c r="H30" s="5" t="s">
        <v>58</v>
      </c>
      <c r="I30" s="5" t="s">
        <v>102</v>
      </c>
      <c r="J30" s="5" t="s">
        <v>152</v>
      </c>
      <c r="K30" s="5" t="s">
        <v>162</v>
      </c>
      <c r="L30" s="5" t="s">
        <v>85</v>
      </c>
      <c r="M30" s="5" t="s">
        <v>106</v>
      </c>
      <c r="N30" s="5" t="s">
        <v>75</v>
      </c>
      <c r="O30" s="12" t="s">
        <v>149</v>
      </c>
      <c r="P30" s="5" t="s">
        <v>117</v>
      </c>
      <c r="Q30" s="5" t="s">
        <v>151</v>
      </c>
      <c r="R30" s="5" t="s">
        <v>153</v>
      </c>
      <c r="T30" s="5" t="s">
        <v>76</v>
      </c>
      <c r="U30" s="5" t="s">
        <v>52</v>
      </c>
      <c r="V30" s="5" t="s">
        <v>46</v>
      </c>
    </row>
    <row r="31" ht="22.5" customHeight="1">
      <c r="A31" s="4">
        <v>42.0</v>
      </c>
      <c r="B31" s="5" t="s">
        <v>180</v>
      </c>
      <c r="C31" s="6" t="s">
        <v>28</v>
      </c>
      <c r="D31" s="5" t="s">
        <v>181</v>
      </c>
      <c r="E31" s="5" t="s">
        <v>49</v>
      </c>
      <c r="F31" s="5" t="s">
        <v>208</v>
      </c>
      <c r="G31" s="5" t="s">
        <v>182</v>
      </c>
      <c r="H31" s="5" t="s">
        <v>147</v>
      </c>
      <c r="I31" s="5" t="s">
        <v>112</v>
      </c>
      <c r="J31" s="5" t="s">
        <v>183</v>
      </c>
      <c r="K31" s="5" t="s">
        <v>184</v>
      </c>
      <c r="L31" s="5" t="s">
        <v>94</v>
      </c>
      <c r="M31" s="5" t="s">
        <v>37</v>
      </c>
      <c r="N31" s="5" t="s">
        <v>66</v>
      </c>
      <c r="O31" s="5" t="s">
        <v>73</v>
      </c>
      <c r="P31" s="5" t="s">
        <v>132</v>
      </c>
      <c r="R31" s="5" t="s">
        <v>38</v>
      </c>
      <c r="T31" s="5" t="s">
        <v>56</v>
      </c>
      <c r="U31" s="5" t="s">
        <v>121</v>
      </c>
      <c r="V31" s="5" t="s">
        <v>46</v>
      </c>
    </row>
    <row r="32" ht="22.5" customHeight="1">
      <c r="A32" s="4">
        <v>43.0</v>
      </c>
      <c r="B32" s="5" t="s">
        <v>185</v>
      </c>
      <c r="C32" s="6" t="s">
        <v>28</v>
      </c>
      <c r="D32" s="5" t="s">
        <v>186</v>
      </c>
      <c r="E32" s="5" t="s">
        <v>169</v>
      </c>
      <c r="F32" s="5"/>
      <c r="G32" s="5" t="s">
        <v>187</v>
      </c>
      <c r="H32" s="5" t="s">
        <v>83</v>
      </c>
      <c r="I32" s="5" t="s">
        <v>62</v>
      </c>
      <c r="J32" s="5" t="s">
        <v>151</v>
      </c>
      <c r="K32" s="5" t="s">
        <v>153</v>
      </c>
      <c r="L32" s="5" t="s">
        <v>103</v>
      </c>
      <c r="M32" s="5" t="s">
        <v>53</v>
      </c>
      <c r="N32" s="5" t="s">
        <v>55</v>
      </c>
      <c r="O32" s="5" t="s">
        <v>63</v>
      </c>
      <c r="P32" s="5" t="s">
        <v>132</v>
      </c>
      <c r="Q32" s="5" t="s">
        <v>105</v>
      </c>
      <c r="R32" s="5" t="s">
        <v>157</v>
      </c>
      <c r="T32" s="5" t="s">
        <v>87</v>
      </c>
      <c r="U32" s="5" t="s">
        <v>111</v>
      </c>
      <c r="V32" s="5" t="s">
        <v>46</v>
      </c>
    </row>
    <row r="33" ht="22.5" customHeight="1">
      <c r="A33" s="4">
        <v>45.0</v>
      </c>
      <c r="B33" s="5" t="s">
        <v>188</v>
      </c>
      <c r="C33" s="6" t="s">
        <v>28</v>
      </c>
      <c r="D33" s="5" t="s">
        <v>184</v>
      </c>
      <c r="E33" s="5" t="s">
        <v>178</v>
      </c>
      <c r="F33" s="5" t="s">
        <v>209</v>
      </c>
      <c r="G33" s="5" t="s">
        <v>120</v>
      </c>
      <c r="H33" s="5" t="s">
        <v>189</v>
      </c>
      <c r="I33" s="5" t="s">
        <v>170</v>
      </c>
      <c r="J33" s="5" t="s">
        <v>183</v>
      </c>
      <c r="K33" s="5" t="s">
        <v>184</v>
      </c>
      <c r="L33" s="5" t="s">
        <v>57</v>
      </c>
      <c r="M33" s="5" t="s">
        <v>42</v>
      </c>
      <c r="N33" s="5" t="s">
        <v>77</v>
      </c>
      <c r="O33" s="12" t="s">
        <v>160</v>
      </c>
      <c r="P33" s="5" t="s">
        <v>117</v>
      </c>
      <c r="Q33" s="5" t="s">
        <v>161</v>
      </c>
      <c r="R33" s="5" t="s">
        <v>157</v>
      </c>
      <c r="S33" s="5" t="s">
        <v>51</v>
      </c>
      <c r="T33" s="5" t="s">
        <v>78</v>
      </c>
      <c r="U33" s="5" t="s">
        <v>84</v>
      </c>
      <c r="V33" s="5" t="s">
        <v>46</v>
      </c>
    </row>
    <row r="34" ht="22.5" customHeight="1">
      <c r="A34" s="4">
        <v>2.0</v>
      </c>
      <c r="B34" s="5" t="s">
        <v>190</v>
      </c>
      <c r="C34" s="6" t="s">
        <v>28</v>
      </c>
      <c r="E34" s="5" t="s">
        <v>191</v>
      </c>
      <c r="V34" s="5" t="s">
        <v>46</v>
      </c>
    </row>
    <row r="35" ht="22.5" customHeight="1">
      <c r="A35" s="4">
        <v>3.0</v>
      </c>
      <c r="B35" s="5" t="s">
        <v>192</v>
      </c>
      <c r="C35" s="6" t="s">
        <v>28</v>
      </c>
      <c r="F35" s="5" t="s">
        <v>209</v>
      </c>
      <c r="V35" s="5" t="s">
        <v>46</v>
      </c>
    </row>
    <row r="36" ht="22.5" customHeight="1">
      <c r="A36" s="4">
        <v>4.0</v>
      </c>
      <c r="B36" s="5" t="s">
        <v>194</v>
      </c>
      <c r="C36" s="6" t="s">
        <v>28</v>
      </c>
      <c r="F36" s="5" t="s">
        <v>209</v>
      </c>
      <c r="V36" s="5" t="s">
        <v>46</v>
      </c>
    </row>
    <row r="37" ht="22.5" customHeight="1">
      <c r="A37" s="4">
        <v>5.0</v>
      </c>
      <c r="B37" s="5" t="s">
        <v>196</v>
      </c>
      <c r="C37" s="6" t="s">
        <v>28</v>
      </c>
      <c r="D37" s="5" t="s">
        <v>197</v>
      </c>
      <c r="V37" s="5" t="s">
        <v>46</v>
      </c>
    </row>
    <row r="38" ht="22.5" customHeight="1">
      <c r="A38" s="4">
        <v>6.0</v>
      </c>
      <c r="B38" s="5" t="s">
        <v>198</v>
      </c>
      <c r="C38" s="6" t="s">
        <v>28</v>
      </c>
      <c r="D38" s="5" t="s">
        <v>199</v>
      </c>
      <c r="E38" s="5" t="s">
        <v>200</v>
      </c>
      <c r="F38" s="5"/>
      <c r="V38" s="5" t="s">
        <v>46</v>
      </c>
    </row>
    <row r="39" ht="22.5" customHeight="1">
      <c r="A39" s="4">
        <v>1.0</v>
      </c>
      <c r="B39" s="5" t="s">
        <v>201</v>
      </c>
      <c r="C39" s="6" t="s">
        <v>202</v>
      </c>
    </row>
    <row r="40" ht="22.5" customHeight="1">
      <c r="A40" s="4">
        <v>22.0</v>
      </c>
      <c r="B40" s="5" t="s">
        <v>203</v>
      </c>
      <c r="C40" s="6" t="s">
        <v>202</v>
      </c>
    </row>
    <row r="41" ht="22.5" customHeight="1">
      <c r="A41" s="4">
        <v>46.0</v>
      </c>
      <c r="B41" s="5" t="s">
        <v>203</v>
      </c>
      <c r="C41" s="6" t="s">
        <v>202</v>
      </c>
    </row>
    <row r="42" ht="22.5" customHeight="1">
      <c r="A42" s="4">
        <v>24.0</v>
      </c>
      <c r="B42" s="5" t="s">
        <v>204</v>
      </c>
      <c r="C42" s="6" t="s">
        <v>202</v>
      </c>
    </row>
    <row r="43" ht="22.5" customHeight="1">
      <c r="A43" s="4">
        <v>36.0</v>
      </c>
      <c r="B43" s="5" t="s">
        <v>204</v>
      </c>
      <c r="C43" s="6" t="s">
        <v>202</v>
      </c>
    </row>
    <row r="44" ht="22.5" customHeight="1">
      <c r="A44" s="4">
        <v>48.0</v>
      </c>
      <c r="B44" s="5" t="s">
        <v>204</v>
      </c>
      <c r="C44" s="6" t="s">
        <v>202</v>
      </c>
    </row>
    <row r="45" ht="22.5" customHeight="1">
      <c r="A45" s="4">
        <v>9.0</v>
      </c>
      <c r="B45" s="5" t="s">
        <v>205</v>
      </c>
      <c r="C45" s="6" t="s">
        <v>202</v>
      </c>
    </row>
    <row r="46" ht="22.5" customHeight="1">
      <c r="A46" s="4">
        <v>23.0</v>
      </c>
      <c r="B46" s="5" t="s">
        <v>206</v>
      </c>
      <c r="C46" s="6" t="s">
        <v>202</v>
      </c>
    </row>
    <row r="47" ht="22.5" customHeight="1">
      <c r="A47" s="4">
        <v>35.0</v>
      </c>
      <c r="B47" s="5" t="s">
        <v>206</v>
      </c>
      <c r="C47" s="6" t="s">
        <v>202</v>
      </c>
    </row>
    <row r="48" ht="22.5" customHeight="1">
      <c r="A48" s="4">
        <v>47.0</v>
      </c>
      <c r="B48" s="5" t="s">
        <v>206</v>
      </c>
      <c r="C48" s="6" t="s">
        <v>202</v>
      </c>
    </row>
    <row r="49" ht="22.5" customHeight="1">
      <c r="A49" s="4">
        <v>8.0</v>
      </c>
      <c r="B49" s="5" t="s">
        <v>207</v>
      </c>
      <c r="C49" s="6" t="s">
        <v>202</v>
      </c>
    </row>
  </sheetData>
  <dataValidations>
    <dataValidation type="list" allowBlank="1" showDropDown="1" showErrorMessage="1" sqref="C2:C49">
      <formula1>"Power,I/O,Reset,Boot"</formula1>
    </dataValidation>
    <dataValidation type="custom" allowBlank="1" showDropDown="1" sqref="A2:A49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3" width="13.88"/>
    <col customWidth="1" min="4" max="4" width="25.25"/>
    <col customWidth="1" min="5" max="5" width="14.13"/>
  </cols>
  <sheetData>
    <row r="1">
      <c r="A1" s="13" t="s">
        <v>210</v>
      </c>
      <c r="B1" s="13" t="s">
        <v>211</v>
      </c>
      <c r="C1" s="13" t="s">
        <v>212</v>
      </c>
      <c r="D1" s="13" t="s">
        <v>213</v>
      </c>
      <c r="E1" s="13" t="s">
        <v>214</v>
      </c>
      <c r="F1" s="13" t="s">
        <v>215</v>
      </c>
    </row>
    <row r="2">
      <c r="A2" s="13" t="s">
        <v>216</v>
      </c>
      <c r="B2" s="13" t="s">
        <v>217</v>
      </c>
      <c r="E2" s="13" t="s">
        <v>181</v>
      </c>
    </row>
    <row r="3">
      <c r="A3" s="13" t="s">
        <v>218</v>
      </c>
      <c r="B3" s="13" t="s">
        <v>217</v>
      </c>
      <c r="E3" s="13" t="s">
        <v>48</v>
      </c>
    </row>
    <row r="4">
      <c r="A4" s="13" t="s">
        <v>219</v>
      </c>
      <c r="B4" s="13" t="s">
        <v>217</v>
      </c>
      <c r="E4" s="13" t="s">
        <v>66</v>
      </c>
    </row>
    <row r="5">
      <c r="A5" s="13" t="s">
        <v>220</v>
      </c>
      <c r="B5" s="13" t="s">
        <v>217</v>
      </c>
      <c r="E5" s="13" t="s">
        <v>55</v>
      </c>
    </row>
    <row r="6">
      <c r="A6" s="13" t="s">
        <v>221</v>
      </c>
      <c r="B6" s="13" t="s">
        <v>217</v>
      </c>
      <c r="E6" s="13" t="s">
        <v>125</v>
      </c>
      <c r="F6" s="14"/>
    </row>
    <row r="7">
      <c r="A7" s="13" t="s">
        <v>222</v>
      </c>
      <c r="B7" s="13" t="s">
        <v>217</v>
      </c>
      <c r="E7" s="13" t="s">
        <v>128</v>
      </c>
      <c r="F7" s="14"/>
    </row>
    <row r="8">
      <c r="A8" s="13" t="s">
        <v>223</v>
      </c>
      <c r="B8" s="13" t="s">
        <v>224</v>
      </c>
      <c r="E8" s="13" t="s">
        <v>225</v>
      </c>
      <c r="F8" s="14"/>
    </row>
    <row r="9">
      <c r="A9" s="13" t="s">
        <v>226</v>
      </c>
      <c r="B9" s="13" t="s">
        <v>224</v>
      </c>
      <c r="E9" s="13" t="s">
        <v>227</v>
      </c>
      <c r="F9" s="14"/>
    </row>
    <row r="10">
      <c r="A10" s="13" t="s">
        <v>228</v>
      </c>
      <c r="B10" s="13" t="s">
        <v>229</v>
      </c>
      <c r="C10" s="13" t="s">
        <v>71</v>
      </c>
      <c r="F10" s="14"/>
    </row>
    <row r="11">
      <c r="A11" s="13" t="s">
        <v>230</v>
      </c>
      <c r="B11" s="13" t="s">
        <v>229</v>
      </c>
      <c r="C11" s="13" t="s">
        <v>71</v>
      </c>
      <c r="F11" s="14"/>
    </row>
    <row r="12">
      <c r="A12" s="13" t="s">
        <v>231</v>
      </c>
      <c r="B12" s="13" t="s">
        <v>229</v>
      </c>
      <c r="C12" s="13" t="s">
        <v>71</v>
      </c>
      <c r="F12" s="14"/>
    </row>
    <row r="13">
      <c r="A13" s="13" t="s">
        <v>232</v>
      </c>
      <c r="B13" s="13" t="s">
        <v>233</v>
      </c>
      <c r="D13" s="13" t="s">
        <v>108</v>
      </c>
      <c r="F13" s="14"/>
    </row>
    <row r="14">
      <c r="A14" s="13" t="s">
        <v>234</v>
      </c>
      <c r="B14" s="13" t="s">
        <v>233</v>
      </c>
      <c r="E14" s="13" t="s">
        <v>235</v>
      </c>
      <c r="F14" s="14"/>
    </row>
    <row r="15">
      <c r="A15" s="13" t="s">
        <v>236</v>
      </c>
      <c r="B15" s="13" t="s">
        <v>233</v>
      </c>
      <c r="E15" s="13" t="s">
        <v>237</v>
      </c>
      <c r="F15" s="14"/>
    </row>
    <row r="16">
      <c r="A16" s="13" t="s">
        <v>238</v>
      </c>
      <c r="B16" s="13" t="s">
        <v>233</v>
      </c>
      <c r="D16" s="13" t="s">
        <v>192</v>
      </c>
    </row>
    <row r="17">
      <c r="A17" s="13" t="s">
        <v>239</v>
      </c>
      <c r="B17" s="13" t="s">
        <v>233</v>
      </c>
      <c r="D17" s="13" t="s">
        <v>194</v>
      </c>
    </row>
    <row r="18">
      <c r="A18" s="13" t="s">
        <v>240</v>
      </c>
      <c r="F18" s="13" t="s">
        <v>240</v>
      </c>
    </row>
    <row r="19">
      <c r="A19" s="13" t="s">
        <v>241</v>
      </c>
      <c r="F19" s="13" t="s">
        <v>241</v>
      </c>
    </row>
  </sheetData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2.88"/>
    <col customWidth="1" min="3" max="3" width="31.63"/>
    <col customWidth="1" min="6" max="11" width="16.13"/>
    <col customWidth="1" min="12" max="12" width="20.75"/>
  </cols>
  <sheetData>
    <row r="1">
      <c r="A1" s="13"/>
      <c r="B1" s="13"/>
      <c r="C1" s="13"/>
      <c r="D1" s="13"/>
      <c r="F1" s="13"/>
      <c r="G1" s="13">
        <v>14.5</v>
      </c>
      <c r="H1" s="13">
        <v>38.0</v>
      </c>
      <c r="I1" s="13">
        <v>24.0</v>
      </c>
      <c r="J1" s="15">
        <v>28.0</v>
      </c>
      <c r="K1" s="13">
        <v>22.0</v>
      </c>
      <c r="L1" s="16">
        <f>G1+H1+I1+K1</f>
        <v>98.5</v>
      </c>
    </row>
    <row r="2" ht="22.5" customHeight="1">
      <c r="A2" s="1" t="s">
        <v>242</v>
      </c>
      <c r="B2" s="1" t="s">
        <v>243</v>
      </c>
      <c r="C2" s="1" t="s">
        <v>244</v>
      </c>
      <c r="D2" s="1" t="s">
        <v>245</v>
      </c>
      <c r="F2" s="17" t="s">
        <v>246</v>
      </c>
      <c r="G2" s="13" t="s">
        <v>247</v>
      </c>
      <c r="H2" s="13" t="s">
        <v>248</v>
      </c>
      <c r="I2" s="13" t="s">
        <v>249</v>
      </c>
      <c r="J2" s="18" t="s">
        <v>250</v>
      </c>
      <c r="K2" s="13" t="s">
        <v>251</v>
      </c>
    </row>
    <row r="3" ht="22.5" customHeight="1">
      <c r="A3" s="6" t="s">
        <v>252</v>
      </c>
      <c r="B3" s="6" t="s">
        <v>253</v>
      </c>
      <c r="C3" s="5" t="s">
        <v>254</v>
      </c>
      <c r="D3" s="19">
        <v>25.0</v>
      </c>
    </row>
    <row r="4" ht="22.5" customHeight="1">
      <c r="A4" s="6" t="s">
        <v>255</v>
      </c>
      <c r="B4" s="6" t="s">
        <v>253</v>
      </c>
      <c r="C4" s="5" t="s">
        <v>256</v>
      </c>
      <c r="D4" s="19"/>
    </row>
    <row r="5" ht="22.5" customHeight="1">
      <c r="A5" s="6" t="s">
        <v>257</v>
      </c>
      <c r="B5" s="6" t="s">
        <v>253</v>
      </c>
      <c r="C5" s="5" t="s">
        <v>258</v>
      </c>
      <c r="D5" s="19">
        <v>25.0</v>
      </c>
    </row>
    <row r="6" ht="22.5" customHeight="1">
      <c r="A6" s="6" t="s">
        <v>259</v>
      </c>
      <c r="B6" s="6" t="s">
        <v>253</v>
      </c>
      <c r="C6" s="5" t="s">
        <v>260</v>
      </c>
      <c r="D6" s="19">
        <v>25.0</v>
      </c>
    </row>
    <row r="7" ht="22.5" customHeight="1">
      <c r="A7" s="6" t="s">
        <v>261</v>
      </c>
      <c r="B7" s="6" t="s">
        <v>253</v>
      </c>
      <c r="C7" s="5" t="s">
        <v>262</v>
      </c>
      <c r="D7" s="19">
        <v>25.0</v>
      </c>
    </row>
    <row r="8" ht="22.5" customHeight="1">
      <c r="A8" s="6" t="s">
        <v>263</v>
      </c>
      <c r="B8" s="6" t="s">
        <v>253</v>
      </c>
      <c r="C8" s="5" t="s">
        <v>264</v>
      </c>
      <c r="D8" s="19">
        <v>25.0</v>
      </c>
    </row>
    <row r="9" ht="22.5" customHeight="1">
      <c r="A9" s="6" t="s">
        <v>265</v>
      </c>
      <c r="B9" s="6" t="s">
        <v>253</v>
      </c>
      <c r="C9" s="5" t="s">
        <v>266</v>
      </c>
      <c r="D9" s="19">
        <v>25.0</v>
      </c>
    </row>
    <row r="10" ht="22.5" customHeight="1">
      <c r="A10" s="6" t="s">
        <v>267</v>
      </c>
      <c r="B10" s="6" t="s">
        <v>253</v>
      </c>
      <c r="C10" s="5" t="s">
        <v>268</v>
      </c>
      <c r="D10" s="19">
        <v>25.0</v>
      </c>
    </row>
    <row r="11" ht="22.5" customHeight="1">
      <c r="A11" s="6" t="s">
        <v>269</v>
      </c>
      <c r="B11" s="6" t="s">
        <v>253</v>
      </c>
      <c r="C11" s="5" t="s">
        <v>270</v>
      </c>
      <c r="D11" s="19">
        <v>25.0</v>
      </c>
    </row>
    <row r="12" ht="22.5" customHeight="1">
      <c r="A12" s="6" t="s">
        <v>271</v>
      </c>
      <c r="B12" s="6" t="s">
        <v>253</v>
      </c>
      <c r="C12" s="5" t="s">
        <v>272</v>
      </c>
      <c r="D12" s="19">
        <v>25.0</v>
      </c>
    </row>
    <row r="13" ht="22.5" customHeight="1">
      <c r="A13" s="6" t="s">
        <v>273</v>
      </c>
      <c r="B13" s="6" t="s">
        <v>253</v>
      </c>
      <c r="C13" s="5" t="s">
        <v>274</v>
      </c>
      <c r="D13" s="19">
        <v>25.0</v>
      </c>
    </row>
    <row r="14" ht="22.5" customHeight="1">
      <c r="A14" s="6" t="s">
        <v>275</v>
      </c>
      <c r="B14" s="6" t="s">
        <v>253</v>
      </c>
      <c r="C14" s="5" t="s">
        <v>276</v>
      </c>
      <c r="D14" s="19">
        <v>25.0</v>
      </c>
    </row>
    <row r="15" ht="22.5" customHeight="1">
      <c r="A15" s="6" t="s">
        <v>277</v>
      </c>
      <c r="B15" s="6" t="s">
        <v>253</v>
      </c>
      <c r="C15" s="5" t="s">
        <v>278</v>
      </c>
      <c r="D15" s="19">
        <v>25.0</v>
      </c>
    </row>
    <row r="16" ht="22.5" customHeight="1">
      <c r="A16" s="6" t="s">
        <v>279</v>
      </c>
      <c r="B16" s="6" t="s">
        <v>253</v>
      </c>
      <c r="C16" s="5" t="s">
        <v>280</v>
      </c>
      <c r="D16" s="19">
        <v>25.0</v>
      </c>
    </row>
    <row r="17" ht="22.5" customHeight="1">
      <c r="A17" s="6" t="s">
        <v>281</v>
      </c>
      <c r="B17" s="6" t="s">
        <v>253</v>
      </c>
      <c r="C17" s="5" t="s">
        <v>282</v>
      </c>
      <c r="D17" s="19">
        <v>25.0</v>
      </c>
    </row>
    <row r="18" ht="22.5" customHeight="1">
      <c r="A18" s="6" t="s">
        <v>283</v>
      </c>
      <c r="B18" s="6" t="s">
        <v>253</v>
      </c>
      <c r="C18" s="5" t="s">
        <v>284</v>
      </c>
      <c r="D18" s="19">
        <v>25.0</v>
      </c>
    </row>
    <row r="19" ht="22.5" customHeight="1">
      <c r="A19" s="6" t="s">
        <v>285</v>
      </c>
      <c r="B19" s="6" t="s">
        <v>253</v>
      </c>
      <c r="C19" s="5" t="s">
        <v>286</v>
      </c>
      <c r="D19" s="19">
        <v>25.0</v>
      </c>
    </row>
    <row r="20" ht="22.5" customHeight="1">
      <c r="A20" s="6" t="s">
        <v>287</v>
      </c>
      <c r="B20" s="6" t="s">
        <v>288</v>
      </c>
      <c r="C20" s="5" t="s">
        <v>289</v>
      </c>
      <c r="D20" s="4">
        <v>18.0</v>
      </c>
      <c r="F20" s="13">
        <v>1.0</v>
      </c>
    </row>
    <row r="21" ht="22.5" customHeight="1">
      <c r="A21" s="6" t="s">
        <v>290</v>
      </c>
      <c r="B21" s="6" t="s">
        <v>288</v>
      </c>
      <c r="C21" s="5" t="s">
        <v>291</v>
      </c>
      <c r="D21" s="4">
        <v>18.0</v>
      </c>
      <c r="F21" s="16">
        <f t="shared" ref="F21:F83" si="1">F20+1</f>
        <v>2</v>
      </c>
    </row>
    <row r="22" ht="22.5" customHeight="1">
      <c r="A22" s="6" t="s">
        <v>292</v>
      </c>
      <c r="B22" s="6" t="s">
        <v>288</v>
      </c>
      <c r="C22" s="5" t="s">
        <v>293</v>
      </c>
      <c r="D22" s="4">
        <v>18.0</v>
      </c>
      <c r="F22" s="16">
        <f t="shared" si="1"/>
        <v>3</v>
      </c>
    </row>
    <row r="23" ht="22.5" customHeight="1">
      <c r="A23" s="6" t="s">
        <v>294</v>
      </c>
      <c r="B23" s="6" t="s">
        <v>288</v>
      </c>
      <c r="C23" s="5" t="s">
        <v>295</v>
      </c>
      <c r="D23" s="4">
        <v>18.0</v>
      </c>
      <c r="F23" s="16">
        <f t="shared" si="1"/>
        <v>4</v>
      </c>
    </row>
    <row r="24" ht="22.5" customHeight="1">
      <c r="A24" s="6" t="s">
        <v>296</v>
      </c>
      <c r="B24" s="6" t="s">
        <v>288</v>
      </c>
      <c r="C24" s="5" t="s">
        <v>297</v>
      </c>
      <c r="D24" s="4">
        <v>18.0</v>
      </c>
      <c r="F24" s="16">
        <f t="shared" si="1"/>
        <v>5</v>
      </c>
    </row>
    <row r="25" ht="22.5" customHeight="1">
      <c r="A25" s="6" t="s">
        <v>298</v>
      </c>
      <c r="B25" s="6" t="s">
        <v>288</v>
      </c>
      <c r="C25" s="5" t="s">
        <v>299</v>
      </c>
      <c r="D25" s="4">
        <v>18.0</v>
      </c>
      <c r="F25" s="16">
        <f t="shared" si="1"/>
        <v>6</v>
      </c>
    </row>
    <row r="26" ht="22.5" customHeight="1">
      <c r="A26" s="6" t="s">
        <v>300</v>
      </c>
      <c r="B26" s="6" t="s">
        <v>288</v>
      </c>
      <c r="C26" s="5" t="s">
        <v>301</v>
      </c>
      <c r="D26" s="4">
        <v>18.0</v>
      </c>
      <c r="F26" s="16">
        <f t="shared" si="1"/>
        <v>7</v>
      </c>
    </row>
    <row r="27" ht="22.5" customHeight="1">
      <c r="A27" s="6" t="s">
        <v>302</v>
      </c>
      <c r="B27" s="6" t="s">
        <v>288</v>
      </c>
      <c r="C27" s="5" t="s">
        <v>303</v>
      </c>
      <c r="D27" s="4">
        <v>18.0</v>
      </c>
      <c r="F27" s="16">
        <f t="shared" si="1"/>
        <v>8</v>
      </c>
    </row>
    <row r="28" ht="22.5" customHeight="1">
      <c r="A28" s="6" t="s">
        <v>304</v>
      </c>
      <c r="B28" s="6" t="s">
        <v>288</v>
      </c>
      <c r="C28" s="5" t="s">
        <v>305</v>
      </c>
      <c r="D28" s="4">
        <v>18.0</v>
      </c>
      <c r="F28" s="16">
        <f t="shared" si="1"/>
        <v>9</v>
      </c>
    </row>
    <row r="29" ht="22.5" customHeight="1">
      <c r="A29" s="6" t="s">
        <v>306</v>
      </c>
      <c r="B29" s="6" t="s">
        <v>288</v>
      </c>
      <c r="C29" s="5" t="s">
        <v>307</v>
      </c>
      <c r="D29" s="4">
        <v>18.0</v>
      </c>
      <c r="F29" s="16">
        <f t="shared" si="1"/>
        <v>10</v>
      </c>
    </row>
    <row r="30" ht="22.5" customHeight="1">
      <c r="A30" s="6" t="s">
        <v>308</v>
      </c>
      <c r="B30" s="6" t="s">
        <v>288</v>
      </c>
      <c r="C30" s="5" t="s">
        <v>309</v>
      </c>
      <c r="D30" s="4">
        <v>18.0</v>
      </c>
      <c r="F30" s="16">
        <f t="shared" si="1"/>
        <v>11</v>
      </c>
    </row>
    <row r="31" ht="22.5" customHeight="1">
      <c r="A31" s="6" t="s">
        <v>310</v>
      </c>
      <c r="B31" s="6" t="s">
        <v>288</v>
      </c>
      <c r="C31" s="5" t="s">
        <v>311</v>
      </c>
      <c r="D31" s="4">
        <v>18.0</v>
      </c>
      <c r="F31" s="16">
        <f t="shared" si="1"/>
        <v>12</v>
      </c>
    </row>
    <row r="32" ht="22.5" customHeight="1">
      <c r="A32" s="6" t="s">
        <v>312</v>
      </c>
      <c r="B32" s="6" t="s">
        <v>288</v>
      </c>
      <c r="C32" s="5" t="s">
        <v>313</v>
      </c>
      <c r="D32" s="4">
        <v>18.0</v>
      </c>
      <c r="F32" s="16">
        <f t="shared" si="1"/>
        <v>13</v>
      </c>
    </row>
    <row r="33" ht="22.5" customHeight="1">
      <c r="A33" s="6" t="s">
        <v>314</v>
      </c>
      <c r="B33" s="6" t="s">
        <v>288</v>
      </c>
      <c r="C33" s="5" t="s">
        <v>315</v>
      </c>
      <c r="D33" s="4">
        <v>18.0</v>
      </c>
      <c r="F33" s="16">
        <f t="shared" si="1"/>
        <v>14</v>
      </c>
    </row>
    <row r="34" ht="22.5" customHeight="1">
      <c r="A34" s="6" t="s">
        <v>316</v>
      </c>
      <c r="B34" s="6" t="s">
        <v>288</v>
      </c>
      <c r="C34" s="5" t="s">
        <v>317</v>
      </c>
      <c r="D34" s="4">
        <v>18.0</v>
      </c>
      <c r="F34" s="16">
        <f t="shared" si="1"/>
        <v>15</v>
      </c>
    </row>
    <row r="35" ht="22.5" customHeight="1">
      <c r="A35" s="6" t="s">
        <v>318</v>
      </c>
      <c r="B35" s="6" t="s">
        <v>288</v>
      </c>
      <c r="C35" s="5" t="s">
        <v>319</v>
      </c>
      <c r="D35" s="4">
        <v>18.0</v>
      </c>
      <c r="F35" s="16">
        <f t="shared" si="1"/>
        <v>16</v>
      </c>
    </row>
    <row r="36" ht="22.5" customHeight="1">
      <c r="A36" s="6" t="s">
        <v>320</v>
      </c>
      <c r="B36" s="6" t="s">
        <v>288</v>
      </c>
      <c r="C36" s="5" t="s">
        <v>321</v>
      </c>
      <c r="D36" s="4">
        <v>18.0</v>
      </c>
      <c r="F36" s="16">
        <f t="shared" si="1"/>
        <v>17</v>
      </c>
    </row>
    <row r="37" ht="22.5" customHeight="1">
      <c r="A37" s="6" t="s">
        <v>322</v>
      </c>
      <c r="B37" s="6" t="s">
        <v>288</v>
      </c>
      <c r="C37" s="5" t="s">
        <v>323</v>
      </c>
      <c r="D37" s="4">
        <v>18.0</v>
      </c>
      <c r="F37" s="16">
        <f t="shared" si="1"/>
        <v>18</v>
      </c>
    </row>
    <row r="38" ht="22.5" customHeight="1">
      <c r="A38" s="6" t="s">
        <v>324</v>
      </c>
      <c r="B38" s="6" t="s">
        <v>288</v>
      </c>
      <c r="C38" s="5" t="s">
        <v>325</v>
      </c>
      <c r="D38" s="4">
        <v>18.0</v>
      </c>
      <c r="F38" s="16">
        <f t="shared" si="1"/>
        <v>19</v>
      </c>
    </row>
    <row r="39" ht="22.5" customHeight="1">
      <c r="A39" s="6" t="s">
        <v>326</v>
      </c>
      <c r="B39" s="6" t="s">
        <v>288</v>
      </c>
      <c r="C39" s="5" t="s">
        <v>327</v>
      </c>
      <c r="D39" s="4">
        <v>18.0</v>
      </c>
      <c r="F39" s="16">
        <f t="shared" si="1"/>
        <v>20</v>
      </c>
    </row>
    <row r="40" ht="22.5" customHeight="1">
      <c r="A40" s="6" t="s">
        <v>328</v>
      </c>
      <c r="B40" s="6" t="s">
        <v>288</v>
      </c>
      <c r="C40" s="5" t="s">
        <v>329</v>
      </c>
      <c r="D40" s="4">
        <v>18.0</v>
      </c>
      <c r="F40" s="16">
        <f t="shared" si="1"/>
        <v>21</v>
      </c>
    </row>
    <row r="41" ht="22.5" customHeight="1">
      <c r="A41" s="6" t="s">
        <v>330</v>
      </c>
      <c r="B41" s="6" t="s">
        <v>288</v>
      </c>
      <c r="C41" s="5" t="s">
        <v>331</v>
      </c>
      <c r="D41" s="4">
        <v>18.0</v>
      </c>
      <c r="F41" s="16">
        <f t="shared" si="1"/>
        <v>22</v>
      </c>
    </row>
    <row r="42" ht="22.5" customHeight="1">
      <c r="A42" s="6" t="s">
        <v>332</v>
      </c>
      <c r="B42" s="6" t="s">
        <v>288</v>
      </c>
      <c r="C42" s="5" t="s">
        <v>333</v>
      </c>
      <c r="D42" s="4">
        <v>18.0</v>
      </c>
      <c r="F42" s="16">
        <f t="shared" si="1"/>
        <v>23</v>
      </c>
    </row>
    <row r="43" ht="22.5" customHeight="1">
      <c r="A43" s="6" t="s">
        <v>334</v>
      </c>
      <c r="B43" s="6" t="s">
        <v>288</v>
      </c>
      <c r="C43" s="5" t="s">
        <v>335</v>
      </c>
      <c r="D43" s="4">
        <v>18.0</v>
      </c>
      <c r="F43" s="16">
        <f t="shared" si="1"/>
        <v>24</v>
      </c>
    </row>
    <row r="44" ht="22.5" customHeight="1">
      <c r="A44" s="6" t="s">
        <v>336</v>
      </c>
      <c r="B44" s="6" t="s">
        <v>288</v>
      </c>
      <c r="C44" s="5" t="s">
        <v>337</v>
      </c>
      <c r="D44" s="4">
        <v>18.0</v>
      </c>
      <c r="F44" s="16">
        <f t="shared" si="1"/>
        <v>25</v>
      </c>
    </row>
    <row r="45" ht="22.5" customHeight="1">
      <c r="A45" s="6" t="s">
        <v>338</v>
      </c>
      <c r="B45" s="6" t="s">
        <v>288</v>
      </c>
      <c r="C45" s="5" t="s">
        <v>339</v>
      </c>
      <c r="D45" s="4">
        <v>18.0</v>
      </c>
      <c r="F45" s="16">
        <f t="shared" si="1"/>
        <v>26</v>
      </c>
    </row>
    <row r="46" ht="22.5" customHeight="1">
      <c r="A46" s="6" t="s">
        <v>340</v>
      </c>
      <c r="B46" s="6" t="s">
        <v>288</v>
      </c>
      <c r="C46" s="5" t="s">
        <v>341</v>
      </c>
      <c r="D46" s="4">
        <v>18.0</v>
      </c>
      <c r="F46" s="16">
        <f t="shared" si="1"/>
        <v>27</v>
      </c>
    </row>
    <row r="47" ht="22.5" customHeight="1">
      <c r="A47" s="6" t="s">
        <v>342</v>
      </c>
      <c r="B47" s="6" t="s">
        <v>288</v>
      </c>
      <c r="C47" s="5" t="s">
        <v>343</v>
      </c>
      <c r="D47" s="4">
        <v>18.0</v>
      </c>
      <c r="F47" s="16">
        <f t="shared" si="1"/>
        <v>28</v>
      </c>
    </row>
    <row r="48" ht="22.5" customHeight="1">
      <c r="A48" s="6" t="s">
        <v>344</v>
      </c>
      <c r="B48" s="6" t="s">
        <v>288</v>
      </c>
      <c r="C48" s="5" t="s">
        <v>345</v>
      </c>
      <c r="D48" s="4">
        <v>18.0</v>
      </c>
      <c r="F48" s="16">
        <f t="shared" si="1"/>
        <v>29</v>
      </c>
    </row>
    <row r="49" ht="22.5" customHeight="1">
      <c r="A49" s="6" t="s">
        <v>346</v>
      </c>
      <c r="B49" s="6" t="s">
        <v>288</v>
      </c>
      <c r="C49" s="5" t="s">
        <v>347</v>
      </c>
      <c r="D49" s="4">
        <v>18.0</v>
      </c>
      <c r="F49" s="16">
        <f t="shared" si="1"/>
        <v>30</v>
      </c>
    </row>
    <row r="50" ht="22.5" customHeight="1">
      <c r="A50" s="6" t="s">
        <v>348</v>
      </c>
      <c r="B50" s="6" t="s">
        <v>288</v>
      </c>
      <c r="C50" s="5" t="s">
        <v>349</v>
      </c>
      <c r="D50" s="4">
        <v>18.0</v>
      </c>
      <c r="F50" s="16">
        <f t="shared" si="1"/>
        <v>31</v>
      </c>
    </row>
    <row r="51" ht="22.5" customHeight="1">
      <c r="A51" s="6" t="s">
        <v>350</v>
      </c>
      <c r="B51" s="6" t="s">
        <v>288</v>
      </c>
      <c r="C51" s="5" t="s">
        <v>351</v>
      </c>
      <c r="D51" s="4">
        <v>18.0</v>
      </c>
      <c r="F51" s="16">
        <f t="shared" si="1"/>
        <v>32</v>
      </c>
    </row>
    <row r="52" ht="22.5" customHeight="1">
      <c r="A52" s="6" t="s">
        <v>352</v>
      </c>
      <c r="B52" s="6" t="s">
        <v>288</v>
      </c>
      <c r="C52" s="5" t="s">
        <v>353</v>
      </c>
      <c r="D52" s="4">
        <v>18.0</v>
      </c>
      <c r="F52" s="16">
        <f t="shared" si="1"/>
        <v>33</v>
      </c>
    </row>
    <row r="53" ht="22.5" customHeight="1">
      <c r="A53" s="6" t="s">
        <v>354</v>
      </c>
      <c r="B53" s="6" t="s">
        <v>288</v>
      </c>
      <c r="C53" s="5" t="s">
        <v>355</v>
      </c>
      <c r="D53" s="4">
        <v>18.0</v>
      </c>
      <c r="F53" s="16">
        <f t="shared" si="1"/>
        <v>34</v>
      </c>
    </row>
    <row r="54" ht="22.5" customHeight="1">
      <c r="A54" s="6" t="s">
        <v>356</v>
      </c>
      <c r="B54" s="6" t="s">
        <v>288</v>
      </c>
      <c r="C54" s="5" t="s">
        <v>357</v>
      </c>
      <c r="D54" s="4">
        <v>18.0</v>
      </c>
      <c r="F54" s="16">
        <f t="shared" si="1"/>
        <v>35</v>
      </c>
    </row>
    <row r="55" ht="22.5" customHeight="1">
      <c r="A55" s="6" t="s">
        <v>358</v>
      </c>
      <c r="B55" s="6" t="s">
        <v>288</v>
      </c>
      <c r="C55" s="5" t="s">
        <v>359</v>
      </c>
      <c r="D55" s="4">
        <v>18.0</v>
      </c>
      <c r="F55" s="16">
        <f t="shared" si="1"/>
        <v>36</v>
      </c>
    </row>
    <row r="56" ht="22.5" customHeight="1">
      <c r="A56" s="6" t="s">
        <v>360</v>
      </c>
      <c r="B56" s="6" t="s">
        <v>288</v>
      </c>
      <c r="C56" s="5" t="s">
        <v>361</v>
      </c>
      <c r="D56" s="4">
        <v>18.0</v>
      </c>
      <c r="F56" s="16">
        <f t="shared" si="1"/>
        <v>37</v>
      </c>
    </row>
    <row r="57" ht="22.5" customHeight="1">
      <c r="A57" s="6" t="s">
        <v>362</v>
      </c>
      <c r="B57" s="6" t="s">
        <v>288</v>
      </c>
      <c r="C57" s="5" t="s">
        <v>363</v>
      </c>
      <c r="D57" s="4">
        <v>18.0</v>
      </c>
      <c r="F57" s="16">
        <f t="shared" si="1"/>
        <v>38</v>
      </c>
    </row>
    <row r="58" ht="22.5" customHeight="1">
      <c r="A58" s="6" t="s">
        <v>364</v>
      </c>
      <c r="B58" s="6" t="s">
        <v>288</v>
      </c>
      <c r="C58" s="5" t="s">
        <v>365</v>
      </c>
      <c r="D58" s="4">
        <v>18.0</v>
      </c>
      <c r="F58" s="16">
        <f t="shared" si="1"/>
        <v>39</v>
      </c>
    </row>
    <row r="59" ht="22.5" customHeight="1">
      <c r="A59" s="6" t="s">
        <v>366</v>
      </c>
      <c r="B59" s="6" t="s">
        <v>288</v>
      </c>
      <c r="C59" s="5" t="s">
        <v>367</v>
      </c>
      <c r="D59" s="4">
        <v>18.0</v>
      </c>
      <c r="F59" s="16">
        <f t="shared" si="1"/>
        <v>40</v>
      </c>
    </row>
    <row r="60" ht="22.5" customHeight="1">
      <c r="A60" s="6" t="s">
        <v>368</v>
      </c>
      <c r="B60" s="6" t="s">
        <v>288</v>
      </c>
      <c r="C60" s="5" t="s">
        <v>369</v>
      </c>
      <c r="D60" s="4">
        <v>18.0</v>
      </c>
      <c r="F60" s="16">
        <f t="shared" si="1"/>
        <v>41</v>
      </c>
    </row>
    <row r="61" ht="22.5" customHeight="1">
      <c r="A61" s="6" t="s">
        <v>370</v>
      </c>
      <c r="B61" s="6" t="s">
        <v>288</v>
      </c>
      <c r="C61" s="5" t="s">
        <v>371</v>
      </c>
      <c r="D61" s="4">
        <v>18.0</v>
      </c>
      <c r="F61" s="16">
        <f t="shared" si="1"/>
        <v>42</v>
      </c>
    </row>
    <row r="62" ht="22.5" customHeight="1">
      <c r="A62" s="6" t="s">
        <v>372</v>
      </c>
      <c r="B62" s="6" t="s">
        <v>288</v>
      </c>
      <c r="C62" s="5" t="s">
        <v>373</v>
      </c>
      <c r="D62" s="4">
        <v>18.0</v>
      </c>
      <c r="F62" s="16">
        <f t="shared" si="1"/>
        <v>43</v>
      </c>
    </row>
    <row r="63" ht="22.5" customHeight="1">
      <c r="A63" s="6" t="s">
        <v>374</v>
      </c>
      <c r="B63" s="6" t="s">
        <v>288</v>
      </c>
      <c r="C63" s="5" t="s">
        <v>375</v>
      </c>
      <c r="D63" s="4">
        <v>18.0</v>
      </c>
      <c r="F63" s="16">
        <f t="shared" si="1"/>
        <v>44</v>
      </c>
    </row>
    <row r="64" ht="22.5" customHeight="1">
      <c r="A64" s="6" t="s">
        <v>376</v>
      </c>
      <c r="B64" s="6" t="s">
        <v>288</v>
      </c>
      <c r="C64" s="5" t="s">
        <v>377</v>
      </c>
      <c r="D64" s="4">
        <v>18.0</v>
      </c>
      <c r="F64" s="16">
        <f t="shared" si="1"/>
        <v>45</v>
      </c>
    </row>
    <row r="65" ht="22.5" customHeight="1">
      <c r="A65" s="6" t="s">
        <v>378</v>
      </c>
      <c r="B65" s="6" t="s">
        <v>288</v>
      </c>
      <c r="C65" s="5" t="s">
        <v>379</v>
      </c>
      <c r="D65" s="4">
        <v>18.0</v>
      </c>
      <c r="F65" s="16">
        <f t="shared" si="1"/>
        <v>46</v>
      </c>
    </row>
    <row r="66" ht="22.5" customHeight="1">
      <c r="A66" s="6" t="s">
        <v>380</v>
      </c>
      <c r="B66" s="6" t="s">
        <v>288</v>
      </c>
      <c r="C66" s="5" t="s">
        <v>381</v>
      </c>
      <c r="D66" s="4">
        <v>18.0</v>
      </c>
      <c r="F66" s="16">
        <f t="shared" si="1"/>
        <v>47</v>
      </c>
    </row>
    <row r="67" ht="22.5" customHeight="1">
      <c r="A67" s="6" t="s">
        <v>382</v>
      </c>
      <c r="B67" s="6" t="s">
        <v>288</v>
      </c>
      <c r="C67" s="5" t="s">
        <v>383</v>
      </c>
      <c r="D67" s="4">
        <v>18.0</v>
      </c>
      <c r="F67" s="16">
        <f t="shared" si="1"/>
        <v>48</v>
      </c>
    </row>
    <row r="68" ht="22.5" customHeight="1">
      <c r="A68" s="6" t="s">
        <v>384</v>
      </c>
      <c r="B68" s="6" t="s">
        <v>288</v>
      </c>
      <c r="C68" s="5" t="s">
        <v>385</v>
      </c>
      <c r="D68" s="4">
        <v>18.0</v>
      </c>
      <c r="F68" s="16">
        <f t="shared" si="1"/>
        <v>49</v>
      </c>
    </row>
    <row r="69" ht="22.5" customHeight="1">
      <c r="A69" s="6" t="s">
        <v>386</v>
      </c>
      <c r="B69" s="6" t="s">
        <v>288</v>
      </c>
      <c r="C69" s="5" t="s">
        <v>387</v>
      </c>
      <c r="D69" s="4">
        <v>18.0</v>
      </c>
      <c r="F69" s="16">
        <f t="shared" si="1"/>
        <v>50</v>
      </c>
    </row>
    <row r="70" ht="22.5" customHeight="1">
      <c r="A70" s="6" t="s">
        <v>388</v>
      </c>
      <c r="B70" s="6" t="s">
        <v>288</v>
      </c>
      <c r="C70" s="5" t="s">
        <v>389</v>
      </c>
      <c r="D70" s="4">
        <v>18.0</v>
      </c>
      <c r="F70" s="16">
        <f t="shared" si="1"/>
        <v>51</v>
      </c>
    </row>
    <row r="71" ht="22.5" customHeight="1">
      <c r="A71" s="6" t="s">
        <v>390</v>
      </c>
      <c r="B71" s="6" t="s">
        <v>288</v>
      </c>
      <c r="C71" s="5" t="s">
        <v>391</v>
      </c>
      <c r="D71" s="4">
        <v>18.0</v>
      </c>
      <c r="F71" s="16">
        <f t="shared" si="1"/>
        <v>52</v>
      </c>
    </row>
    <row r="72" ht="22.5" customHeight="1">
      <c r="A72" s="6" t="s">
        <v>392</v>
      </c>
      <c r="B72" s="6" t="s">
        <v>288</v>
      </c>
      <c r="C72" s="5" t="s">
        <v>393</v>
      </c>
      <c r="D72" s="4">
        <v>18.0</v>
      </c>
      <c r="F72" s="16">
        <f t="shared" si="1"/>
        <v>53</v>
      </c>
    </row>
    <row r="73" ht="22.5" customHeight="1">
      <c r="A73" s="6" t="s">
        <v>394</v>
      </c>
      <c r="B73" s="6" t="s">
        <v>288</v>
      </c>
      <c r="C73" s="5" t="s">
        <v>395</v>
      </c>
      <c r="D73" s="4">
        <v>18.0</v>
      </c>
      <c r="F73" s="16">
        <f t="shared" si="1"/>
        <v>54</v>
      </c>
    </row>
    <row r="74" ht="22.5" customHeight="1">
      <c r="A74" s="6" t="s">
        <v>396</v>
      </c>
      <c r="B74" s="6" t="s">
        <v>288</v>
      </c>
      <c r="C74" s="5" t="s">
        <v>397</v>
      </c>
      <c r="D74" s="4">
        <v>18.0</v>
      </c>
      <c r="F74" s="16">
        <f t="shared" si="1"/>
        <v>55</v>
      </c>
    </row>
    <row r="75" ht="22.5" customHeight="1">
      <c r="A75" s="6" t="s">
        <v>398</v>
      </c>
      <c r="B75" s="6" t="s">
        <v>288</v>
      </c>
      <c r="C75" s="5" t="s">
        <v>399</v>
      </c>
      <c r="D75" s="4">
        <v>18.0</v>
      </c>
      <c r="F75" s="16">
        <f t="shared" si="1"/>
        <v>56</v>
      </c>
    </row>
    <row r="76" ht="22.5" customHeight="1">
      <c r="A76" s="6" t="s">
        <v>400</v>
      </c>
      <c r="B76" s="6" t="s">
        <v>288</v>
      </c>
      <c r="C76" s="5" t="s">
        <v>401</v>
      </c>
      <c r="D76" s="4">
        <v>18.0</v>
      </c>
      <c r="F76" s="16">
        <f t="shared" si="1"/>
        <v>57</v>
      </c>
    </row>
    <row r="77" ht="22.5" customHeight="1">
      <c r="A77" s="6" t="s">
        <v>402</v>
      </c>
      <c r="B77" s="6" t="s">
        <v>288</v>
      </c>
      <c r="C77" s="5" t="s">
        <v>403</v>
      </c>
      <c r="D77" s="4">
        <v>18.0</v>
      </c>
      <c r="F77" s="16">
        <f t="shared" si="1"/>
        <v>58</v>
      </c>
    </row>
    <row r="78" ht="22.5" customHeight="1">
      <c r="A78" s="6" t="s">
        <v>404</v>
      </c>
      <c r="B78" s="6" t="s">
        <v>288</v>
      </c>
      <c r="C78" s="5" t="s">
        <v>405</v>
      </c>
      <c r="D78" s="4">
        <v>18.0</v>
      </c>
      <c r="F78" s="16">
        <f t="shared" si="1"/>
        <v>59</v>
      </c>
    </row>
    <row r="79" ht="22.5" customHeight="1">
      <c r="A79" s="6" t="s">
        <v>406</v>
      </c>
      <c r="B79" s="6" t="s">
        <v>288</v>
      </c>
      <c r="C79" s="5" t="s">
        <v>407</v>
      </c>
      <c r="D79" s="4">
        <v>18.0</v>
      </c>
      <c r="F79" s="16">
        <f t="shared" si="1"/>
        <v>60</v>
      </c>
    </row>
    <row r="80" ht="22.5" customHeight="1">
      <c r="A80" s="6" t="s">
        <v>408</v>
      </c>
      <c r="B80" s="6" t="s">
        <v>288</v>
      </c>
      <c r="C80" s="5" t="s">
        <v>409</v>
      </c>
      <c r="D80" s="4">
        <v>18.0</v>
      </c>
      <c r="F80" s="16">
        <f t="shared" si="1"/>
        <v>61</v>
      </c>
    </row>
    <row r="81" ht="22.5" customHeight="1">
      <c r="A81" s="6" t="s">
        <v>410</v>
      </c>
      <c r="B81" s="6" t="s">
        <v>288</v>
      </c>
      <c r="C81" s="5" t="s">
        <v>411</v>
      </c>
      <c r="D81" s="4">
        <v>18.0</v>
      </c>
      <c r="F81" s="16">
        <f t="shared" si="1"/>
        <v>62</v>
      </c>
    </row>
    <row r="82" ht="22.5" customHeight="1">
      <c r="A82" s="6" t="s">
        <v>412</v>
      </c>
      <c r="B82" s="6" t="s">
        <v>288</v>
      </c>
      <c r="C82" s="5" t="s">
        <v>413</v>
      </c>
      <c r="D82" s="4">
        <v>18.0</v>
      </c>
      <c r="F82" s="16">
        <f t="shared" si="1"/>
        <v>63</v>
      </c>
    </row>
    <row r="83" ht="22.5" customHeight="1">
      <c r="A83" s="6" t="s">
        <v>414</v>
      </c>
      <c r="B83" s="6" t="s">
        <v>288</v>
      </c>
      <c r="C83" s="5" t="s">
        <v>415</v>
      </c>
      <c r="D83" s="4">
        <v>18.0</v>
      </c>
      <c r="F83" s="16">
        <f t="shared" si="1"/>
        <v>64</v>
      </c>
    </row>
    <row r="84" ht="22.5" customHeight="1">
      <c r="A84" s="6" t="s">
        <v>416</v>
      </c>
      <c r="B84" s="6" t="s">
        <v>417</v>
      </c>
      <c r="C84" s="5" t="s">
        <v>418</v>
      </c>
      <c r="D84" s="4">
        <v>33.0</v>
      </c>
      <c r="E84" s="13"/>
      <c r="G84" s="13">
        <v>1.0</v>
      </c>
      <c r="H84" s="13"/>
      <c r="I84" s="13"/>
      <c r="J84" s="13"/>
      <c r="K84" s="13"/>
    </row>
    <row r="85" ht="22.5" customHeight="1">
      <c r="A85" s="6" t="s">
        <v>419</v>
      </c>
      <c r="B85" s="6" t="s">
        <v>417</v>
      </c>
      <c r="C85" s="5" t="s">
        <v>420</v>
      </c>
      <c r="D85" s="4">
        <v>33.0</v>
      </c>
      <c r="G85" s="16">
        <f t="shared" ref="G85:G98" si="2">G84+1</f>
        <v>2</v>
      </c>
    </row>
    <row r="86" ht="22.5" customHeight="1">
      <c r="A86" s="6" t="s">
        <v>421</v>
      </c>
      <c r="B86" s="6" t="s">
        <v>417</v>
      </c>
      <c r="C86" s="5" t="s">
        <v>422</v>
      </c>
      <c r="D86" s="4">
        <v>33.0</v>
      </c>
      <c r="E86" s="13"/>
      <c r="G86" s="16">
        <f t="shared" si="2"/>
        <v>3</v>
      </c>
    </row>
    <row r="87" ht="22.5" customHeight="1">
      <c r="A87" s="6" t="s">
        <v>423</v>
      </c>
      <c r="B87" s="6" t="s">
        <v>417</v>
      </c>
      <c r="C87" s="5" t="s">
        <v>424</v>
      </c>
      <c r="D87" s="4">
        <v>33.0</v>
      </c>
      <c r="G87" s="16">
        <f t="shared" si="2"/>
        <v>4</v>
      </c>
    </row>
    <row r="88" ht="22.5" customHeight="1">
      <c r="A88" s="6" t="s">
        <v>425</v>
      </c>
      <c r="B88" s="6" t="s">
        <v>417</v>
      </c>
      <c r="C88" s="5" t="s">
        <v>426</v>
      </c>
      <c r="D88" s="4">
        <v>33.0</v>
      </c>
      <c r="G88" s="16">
        <f t="shared" si="2"/>
        <v>5</v>
      </c>
    </row>
    <row r="89" ht="22.5" customHeight="1">
      <c r="A89" s="6" t="s">
        <v>427</v>
      </c>
      <c r="B89" s="6" t="s">
        <v>417</v>
      </c>
      <c r="C89" s="20" t="s">
        <v>428</v>
      </c>
      <c r="D89" s="4">
        <v>33.0</v>
      </c>
      <c r="G89" s="16">
        <f t="shared" si="2"/>
        <v>6</v>
      </c>
    </row>
    <row r="90" ht="22.5" customHeight="1">
      <c r="A90" s="6" t="s">
        <v>429</v>
      </c>
      <c r="B90" s="6" t="s">
        <v>417</v>
      </c>
      <c r="C90" s="5" t="s">
        <v>430</v>
      </c>
      <c r="D90" s="4">
        <v>33.0</v>
      </c>
      <c r="G90" s="16">
        <f t="shared" si="2"/>
        <v>7</v>
      </c>
    </row>
    <row r="91" ht="22.5" customHeight="1">
      <c r="A91" s="6" t="s">
        <v>431</v>
      </c>
      <c r="B91" s="6" t="s">
        <v>417</v>
      </c>
      <c r="C91" s="5" t="s">
        <v>432</v>
      </c>
      <c r="D91" s="4">
        <v>33.0</v>
      </c>
      <c r="G91" s="16">
        <f t="shared" si="2"/>
        <v>8</v>
      </c>
    </row>
    <row r="92" ht="22.5" customHeight="1">
      <c r="A92" s="6" t="s">
        <v>433</v>
      </c>
      <c r="B92" s="6" t="s">
        <v>417</v>
      </c>
      <c r="C92" s="5" t="s">
        <v>434</v>
      </c>
      <c r="D92" s="4">
        <v>33.0</v>
      </c>
      <c r="G92" s="16">
        <f t="shared" si="2"/>
        <v>9</v>
      </c>
    </row>
    <row r="93" ht="22.5" customHeight="1">
      <c r="A93" s="6" t="s">
        <v>435</v>
      </c>
      <c r="B93" s="6" t="s">
        <v>417</v>
      </c>
      <c r="C93" s="5" t="s">
        <v>436</v>
      </c>
      <c r="D93" s="4">
        <v>33.0</v>
      </c>
      <c r="G93" s="16">
        <f t="shared" si="2"/>
        <v>10</v>
      </c>
    </row>
    <row r="94" ht="22.5" customHeight="1">
      <c r="A94" s="6" t="s">
        <v>437</v>
      </c>
      <c r="B94" s="6" t="s">
        <v>417</v>
      </c>
      <c r="C94" s="5" t="s">
        <v>438</v>
      </c>
      <c r="D94" s="4">
        <v>33.0</v>
      </c>
      <c r="G94" s="16">
        <f t="shared" si="2"/>
        <v>11</v>
      </c>
    </row>
    <row r="95" ht="22.5" customHeight="1">
      <c r="A95" s="6" t="s">
        <v>439</v>
      </c>
      <c r="B95" s="6" t="s">
        <v>417</v>
      </c>
      <c r="C95" s="5" t="s">
        <v>440</v>
      </c>
      <c r="D95" s="4">
        <v>33.0</v>
      </c>
      <c r="G95" s="16">
        <f t="shared" si="2"/>
        <v>12</v>
      </c>
    </row>
    <row r="96" ht="22.5" customHeight="1">
      <c r="A96" s="6" t="s">
        <v>441</v>
      </c>
      <c r="B96" s="6" t="s">
        <v>417</v>
      </c>
      <c r="C96" s="5" t="s">
        <v>442</v>
      </c>
      <c r="D96" s="4">
        <v>33.0</v>
      </c>
      <c r="G96" s="16">
        <f t="shared" si="2"/>
        <v>13</v>
      </c>
    </row>
    <row r="97" ht="22.5" customHeight="1">
      <c r="A97" s="6" t="s">
        <v>443</v>
      </c>
      <c r="B97" s="6" t="s">
        <v>417</v>
      </c>
      <c r="C97" s="5" t="s">
        <v>444</v>
      </c>
      <c r="D97" s="4">
        <v>33.0</v>
      </c>
      <c r="G97" s="16">
        <f t="shared" si="2"/>
        <v>14</v>
      </c>
    </row>
    <row r="98" ht="22.5" customHeight="1">
      <c r="A98" s="6" t="s">
        <v>445</v>
      </c>
      <c r="B98" s="6" t="s">
        <v>417</v>
      </c>
      <c r="C98" s="5" t="s">
        <v>446</v>
      </c>
      <c r="D98" s="4">
        <v>33.0</v>
      </c>
      <c r="G98" s="16">
        <f t="shared" si="2"/>
        <v>15</v>
      </c>
    </row>
    <row r="99" ht="22.5" customHeight="1">
      <c r="A99" s="6" t="s">
        <v>447</v>
      </c>
      <c r="B99" s="6" t="s">
        <v>448</v>
      </c>
      <c r="C99" s="5" t="s">
        <v>449</v>
      </c>
      <c r="D99" s="4">
        <v>33.0</v>
      </c>
      <c r="H99" s="13">
        <v>1.0</v>
      </c>
    </row>
    <row r="100" ht="22.5" customHeight="1">
      <c r="A100" s="6" t="s">
        <v>450</v>
      </c>
      <c r="B100" s="6" t="s">
        <v>448</v>
      </c>
      <c r="C100" s="5" t="s">
        <v>451</v>
      </c>
      <c r="D100" s="4">
        <v>33.0</v>
      </c>
      <c r="H100" s="16">
        <f t="shared" ref="H100:H136" si="3">H99+1</f>
        <v>2</v>
      </c>
    </row>
    <row r="101" ht="22.5" customHeight="1">
      <c r="A101" s="6" t="s">
        <v>452</v>
      </c>
      <c r="B101" s="6" t="s">
        <v>448</v>
      </c>
      <c r="C101" s="5" t="s">
        <v>453</v>
      </c>
      <c r="D101" s="4">
        <v>33.0</v>
      </c>
      <c r="H101" s="16">
        <f t="shared" si="3"/>
        <v>3</v>
      </c>
    </row>
    <row r="102" ht="22.5" customHeight="1">
      <c r="A102" s="6" t="s">
        <v>454</v>
      </c>
      <c r="B102" s="6" t="s">
        <v>448</v>
      </c>
      <c r="C102" s="5" t="s">
        <v>455</v>
      </c>
      <c r="D102" s="4">
        <v>33.0</v>
      </c>
      <c r="H102" s="16">
        <f t="shared" si="3"/>
        <v>4</v>
      </c>
    </row>
    <row r="103" ht="22.5" customHeight="1">
      <c r="A103" s="6" t="s">
        <v>456</v>
      </c>
      <c r="B103" s="6" t="s">
        <v>448</v>
      </c>
      <c r="C103" s="5" t="s">
        <v>457</v>
      </c>
      <c r="D103" s="4">
        <v>33.0</v>
      </c>
      <c r="H103" s="16">
        <f t="shared" si="3"/>
        <v>5</v>
      </c>
    </row>
    <row r="104" ht="22.5" customHeight="1">
      <c r="A104" s="6" t="s">
        <v>458</v>
      </c>
      <c r="B104" s="6" t="s">
        <v>448</v>
      </c>
      <c r="C104" s="5" t="s">
        <v>459</v>
      </c>
      <c r="D104" s="4">
        <v>33.0</v>
      </c>
      <c r="H104" s="16">
        <f t="shared" si="3"/>
        <v>6</v>
      </c>
    </row>
    <row r="105" ht="22.5" customHeight="1">
      <c r="A105" s="6" t="s">
        <v>460</v>
      </c>
      <c r="B105" s="6" t="s">
        <v>448</v>
      </c>
      <c r="C105" s="5" t="s">
        <v>461</v>
      </c>
      <c r="D105" s="4">
        <v>33.0</v>
      </c>
      <c r="H105" s="16">
        <f t="shared" si="3"/>
        <v>7</v>
      </c>
    </row>
    <row r="106" ht="22.5" customHeight="1">
      <c r="A106" s="6" t="s">
        <v>462</v>
      </c>
      <c r="B106" s="6" t="s">
        <v>448</v>
      </c>
      <c r="C106" s="5" t="s">
        <v>463</v>
      </c>
      <c r="D106" s="4">
        <v>33.0</v>
      </c>
      <c r="H106" s="16">
        <f t="shared" si="3"/>
        <v>8</v>
      </c>
    </row>
    <row r="107" ht="22.5" customHeight="1">
      <c r="A107" s="6" t="s">
        <v>464</v>
      </c>
      <c r="B107" s="6" t="s">
        <v>448</v>
      </c>
      <c r="C107" s="5" t="s">
        <v>465</v>
      </c>
      <c r="D107" s="4">
        <v>33.0</v>
      </c>
      <c r="H107" s="16">
        <f t="shared" si="3"/>
        <v>9</v>
      </c>
    </row>
    <row r="108" ht="22.5" customHeight="1">
      <c r="A108" s="6" t="s">
        <v>466</v>
      </c>
      <c r="B108" s="6" t="s">
        <v>448</v>
      </c>
      <c r="C108" s="5" t="s">
        <v>467</v>
      </c>
      <c r="D108" s="4">
        <v>33.0</v>
      </c>
      <c r="H108" s="16">
        <f t="shared" si="3"/>
        <v>10</v>
      </c>
    </row>
    <row r="109" ht="22.5" customHeight="1">
      <c r="A109" s="6" t="s">
        <v>468</v>
      </c>
      <c r="B109" s="6" t="s">
        <v>448</v>
      </c>
      <c r="C109" s="5" t="s">
        <v>469</v>
      </c>
      <c r="D109" s="4">
        <v>33.0</v>
      </c>
      <c r="H109" s="16">
        <f t="shared" si="3"/>
        <v>11</v>
      </c>
    </row>
    <row r="110" ht="22.5" customHeight="1">
      <c r="A110" s="6" t="s">
        <v>470</v>
      </c>
      <c r="B110" s="6" t="s">
        <v>448</v>
      </c>
      <c r="C110" s="5" t="s">
        <v>471</v>
      </c>
      <c r="D110" s="4">
        <v>33.0</v>
      </c>
      <c r="H110" s="16">
        <f t="shared" si="3"/>
        <v>12</v>
      </c>
    </row>
    <row r="111" ht="22.5" customHeight="1">
      <c r="A111" s="6" t="s">
        <v>472</v>
      </c>
      <c r="B111" s="6" t="s">
        <v>448</v>
      </c>
      <c r="C111" s="5" t="s">
        <v>473</v>
      </c>
      <c r="D111" s="4">
        <v>33.0</v>
      </c>
      <c r="H111" s="16">
        <f t="shared" si="3"/>
        <v>13</v>
      </c>
    </row>
    <row r="112" ht="22.5" customHeight="1">
      <c r="A112" s="6" t="s">
        <v>474</v>
      </c>
      <c r="B112" s="6" t="s">
        <v>448</v>
      </c>
      <c r="C112" s="5" t="s">
        <v>475</v>
      </c>
      <c r="D112" s="4">
        <v>33.0</v>
      </c>
      <c r="H112" s="16">
        <f t="shared" si="3"/>
        <v>14</v>
      </c>
    </row>
    <row r="113" ht="22.5" customHeight="1">
      <c r="A113" s="6" t="s">
        <v>476</v>
      </c>
      <c r="B113" s="6" t="s">
        <v>448</v>
      </c>
      <c r="C113" s="5" t="s">
        <v>477</v>
      </c>
      <c r="D113" s="4">
        <v>33.0</v>
      </c>
      <c r="H113" s="16">
        <f t="shared" si="3"/>
        <v>15</v>
      </c>
    </row>
    <row r="114" ht="22.5" customHeight="1">
      <c r="A114" s="6" t="s">
        <v>478</v>
      </c>
      <c r="B114" s="6" t="s">
        <v>448</v>
      </c>
      <c r="C114" s="5" t="s">
        <v>479</v>
      </c>
      <c r="D114" s="4">
        <v>33.0</v>
      </c>
      <c r="H114" s="16">
        <f t="shared" si="3"/>
        <v>16</v>
      </c>
    </row>
    <row r="115" ht="22.5" customHeight="1">
      <c r="A115" s="6" t="s">
        <v>480</v>
      </c>
      <c r="B115" s="6" t="s">
        <v>448</v>
      </c>
      <c r="C115" s="5" t="s">
        <v>481</v>
      </c>
      <c r="D115" s="4">
        <v>33.0</v>
      </c>
      <c r="H115" s="16">
        <f t="shared" si="3"/>
        <v>17</v>
      </c>
    </row>
    <row r="116" ht="22.5" customHeight="1">
      <c r="A116" s="6" t="s">
        <v>482</v>
      </c>
      <c r="B116" s="6" t="s">
        <v>448</v>
      </c>
      <c r="C116" s="5" t="s">
        <v>483</v>
      </c>
      <c r="D116" s="4">
        <v>33.0</v>
      </c>
      <c r="H116" s="16">
        <f t="shared" si="3"/>
        <v>18</v>
      </c>
    </row>
    <row r="117" ht="22.5" customHeight="1">
      <c r="A117" s="6" t="s">
        <v>484</v>
      </c>
      <c r="B117" s="6" t="s">
        <v>448</v>
      </c>
      <c r="C117" s="5" t="s">
        <v>485</v>
      </c>
      <c r="D117" s="4">
        <v>33.0</v>
      </c>
      <c r="H117" s="16">
        <f t="shared" si="3"/>
        <v>19</v>
      </c>
    </row>
    <row r="118" ht="22.5" customHeight="1">
      <c r="A118" s="6" t="s">
        <v>486</v>
      </c>
      <c r="B118" s="6" t="s">
        <v>448</v>
      </c>
      <c r="C118" s="5" t="s">
        <v>487</v>
      </c>
      <c r="D118" s="4">
        <v>33.0</v>
      </c>
      <c r="H118" s="16">
        <f t="shared" si="3"/>
        <v>20</v>
      </c>
    </row>
    <row r="119" ht="22.5" customHeight="1">
      <c r="A119" s="6" t="s">
        <v>488</v>
      </c>
      <c r="B119" s="6" t="s">
        <v>448</v>
      </c>
      <c r="C119" s="5" t="s">
        <v>489</v>
      </c>
      <c r="D119" s="4">
        <v>33.0</v>
      </c>
      <c r="H119" s="16">
        <f t="shared" si="3"/>
        <v>21</v>
      </c>
    </row>
    <row r="120" ht="22.5" customHeight="1">
      <c r="A120" s="6" t="s">
        <v>490</v>
      </c>
      <c r="B120" s="6" t="s">
        <v>448</v>
      </c>
      <c r="C120" s="5" t="s">
        <v>491</v>
      </c>
      <c r="D120" s="4">
        <v>33.0</v>
      </c>
      <c r="H120" s="16">
        <f t="shared" si="3"/>
        <v>22</v>
      </c>
    </row>
    <row r="121" ht="22.5" customHeight="1">
      <c r="A121" s="6" t="s">
        <v>492</v>
      </c>
      <c r="B121" s="6" t="s">
        <v>448</v>
      </c>
      <c r="C121" s="5" t="s">
        <v>493</v>
      </c>
      <c r="D121" s="4">
        <v>33.0</v>
      </c>
      <c r="H121" s="16">
        <f t="shared" si="3"/>
        <v>23</v>
      </c>
    </row>
    <row r="122" ht="22.5" customHeight="1">
      <c r="A122" s="6" t="s">
        <v>494</v>
      </c>
      <c r="B122" s="6" t="s">
        <v>448</v>
      </c>
      <c r="C122" s="5" t="s">
        <v>495</v>
      </c>
      <c r="D122" s="4">
        <v>33.0</v>
      </c>
      <c r="H122" s="16">
        <f t="shared" si="3"/>
        <v>24</v>
      </c>
    </row>
    <row r="123" ht="22.5" customHeight="1">
      <c r="A123" s="6" t="s">
        <v>496</v>
      </c>
      <c r="B123" s="6" t="s">
        <v>448</v>
      </c>
      <c r="C123" s="5" t="s">
        <v>497</v>
      </c>
      <c r="D123" s="4">
        <v>33.0</v>
      </c>
      <c r="H123" s="16">
        <f t="shared" si="3"/>
        <v>25</v>
      </c>
    </row>
    <row r="124" ht="22.5" customHeight="1">
      <c r="A124" s="6" t="s">
        <v>498</v>
      </c>
      <c r="B124" s="6" t="s">
        <v>448</v>
      </c>
      <c r="C124" s="5" t="s">
        <v>499</v>
      </c>
      <c r="D124" s="4">
        <v>33.0</v>
      </c>
      <c r="H124" s="16">
        <f t="shared" si="3"/>
        <v>26</v>
      </c>
    </row>
    <row r="125" ht="22.5" customHeight="1">
      <c r="A125" s="6" t="s">
        <v>500</v>
      </c>
      <c r="B125" s="6" t="s">
        <v>448</v>
      </c>
      <c r="C125" s="5" t="s">
        <v>501</v>
      </c>
      <c r="D125" s="4">
        <v>33.0</v>
      </c>
      <c r="H125" s="16">
        <f t="shared" si="3"/>
        <v>27</v>
      </c>
    </row>
    <row r="126" ht="22.5" customHeight="1">
      <c r="A126" s="6" t="s">
        <v>502</v>
      </c>
      <c r="B126" s="6" t="s">
        <v>448</v>
      </c>
      <c r="C126" s="5" t="s">
        <v>503</v>
      </c>
      <c r="D126" s="4">
        <v>33.0</v>
      </c>
      <c r="H126" s="16">
        <f t="shared" si="3"/>
        <v>28</v>
      </c>
    </row>
    <row r="127" ht="22.5" customHeight="1">
      <c r="A127" s="6" t="s">
        <v>504</v>
      </c>
      <c r="B127" s="6" t="s">
        <v>448</v>
      </c>
      <c r="C127" s="5" t="s">
        <v>505</v>
      </c>
      <c r="D127" s="4">
        <v>33.0</v>
      </c>
      <c r="H127" s="16">
        <f t="shared" si="3"/>
        <v>29</v>
      </c>
    </row>
    <row r="128" ht="22.5" customHeight="1">
      <c r="A128" s="6" t="s">
        <v>506</v>
      </c>
      <c r="B128" s="6" t="s">
        <v>448</v>
      </c>
      <c r="C128" s="5" t="s">
        <v>507</v>
      </c>
      <c r="D128" s="4">
        <v>33.0</v>
      </c>
      <c r="H128" s="16">
        <f t="shared" si="3"/>
        <v>30</v>
      </c>
    </row>
    <row r="129" ht="22.5" customHeight="1">
      <c r="A129" s="6" t="s">
        <v>508</v>
      </c>
      <c r="B129" s="6" t="s">
        <v>448</v>
      </c>
      <c r="C129" s="5" t="s">
        <v>509</v>
      </c>
      <c r="D129" s="4">
        <v>33.0</v>
      </c>
      <c r="H129" s="16">
        <f t="shared" si="3"/>
        <v>31</v>
      </c>
    </row>
    <row r="130" ht="22.5" customHeight="1">
      <c r="A130" s="6" t="s">
        <v>510</v>
      </c>
      <c r="B130" s="6" t="s">
        <v>448</v>
      </c>
      <c r="C130" s="5" t="s">
        <v>511</v>
      </c>
      <c r="D130" s="4">
        <v>33.0</v>
      </c>
      <c r="H130" s="16">
        <f t="shared" si="3"/>
        <v>32</v>
      </c>
    </row>
    <row r="131" ht="22.5" customHeight="1">
      <c r="A131" s="6" t="s">
        <v>512</v>
      </c>
      <c r="B131" s="6" t="s">
        <v>448</v>
      </c>
      <c r="C131" s="5" t="s">
        <v>513</v>
      </c>
      <c r="D131" s="4">
        <v>33.0</v>
      </c>
      <c r="H131" s="16">
        <f t="shared" si="3"/>
        <v>33</v>
      </c>
    </row>
    <row r="132" ht="22.5" customHeight="1">
      <c r="A132" s="6" t="s">
        <v>514</v>
      </c>
      <c r="B132" s="6" t="s">
        <v>448</v>
      </c>
      <c r="C132" s="5" t="s">
        <v>515</v>
      </c>
      <c r="D132" s="4">
        <v>33.0</v>
      </c>
      <c r="H132" s="16">
        <f t="shared" si="3"/>
        <v>34</v>
      </c>
    </row>
    <row r="133" ht="22.5" customHeight="1">
      <c r="A133" s="6" t="s">
        <v>516</v>
      </c>
      <c r="B133" s="6" t="s">
        <v>448</v>
      </c>
      <c r="C133" s="5" t="s">
        <v>517</v>
      </c>
      <c r="D133" s="4">
        <v>33.0</v>
      </c>
      <c r="H133" s="16">
        <f t="shared" si="3"/>
        <v>35</v>
      </c>
    </row>
    <row r="134" ht="22.5" customHeight="1">
      <c r="A134" s="6" t="s">
        <v>518</v>
      </c>
      <c r="B134" s="6" t="s">
        <v>448</v>
      </c>
      <c r="C134" s="5" t="s">
        <v>519</v>
      </c>
      <c r="D134" s="4">
        <v>33.0</v>
      </c>
      <c r="H134" s="16">
        <f t="shared" si="3"/>
        <v>36</v>
      </c>
    </row>
    <row r="135" ht="22.5" customHeight="1">
      <c r="A135" s="6" t="s">
        <v>520</v>
      </c>
      <c r="B135" s="6" t="s">
        <v>448</v>
      </c>
      <c r="C135" s="5" t="s">
        <v>521</v>
      </c>
      <c r="D135" s="4">
        <v>33.0</v>
      </c>
      <c r="H135" s="16">
        <f t="shared" si="3"/>
        <v>37</v>
      </c>
    </row>
    <row r="136" ht="22.5" customHeight="1">
      <c r="A136" s="6" t="s">
        <v>522</v>
      </c>
      <c r="B136" s="6" t="s">
        <v>448</v>
      </c>
      <c r="C136" s="5" t="s">
        <v>523</v>
      </c>
      <c r="D136" s="4">
        <v>33.0</v>
      </c>
      <c r="H136" s="16">
        <f t="shared" si="3"/>
        <v>38</v>
      </c>
    </row>
    <row r="137" ht="22.5" customHeight="1">
      <c r="A137" s="6" t="s">
        <v>524</v>
      </c>
      <c r="B137" s="6" t="s">
        <v>525</v>
      </c>
      <c r="C137" s="5" t="s">
        <v>526</v>
      </c>
      <c r="D137" s="4">
        <v>33.0</v>
      </c>
      <c r="I137" s="13">
        <v>1.0</v>
      </c>
      <c r="K137" s="13"/>
    </row>
    <row r="138" ht="22.5" customHeight="1">
      <c r="A138" s="6" t="s">
        <v>527</v>
      </c>
      <c r="B138" s="6" t="s">
        <v>525</v>
      </c>
      <c r="C138" s="5" t="s">
        <v>528</v>
      </c>
      <c r="D138" s="4">
        <v>33.0</v>
      </c>
      <c r="I138" s="16">
        <f t="shared" ref="I138:I160" si="4">I137+1</f>
        <v>2</v>
      </c>
    </row>
    <row r="139" ht="22.5" customHeight="1">
      <c r="A139" s="6" t="s">
        <v>529</v>
      </c>
      <c r="B139" s="6" t="s">
        <v>525</v>
      </c>
      <c r="C139" s="5" t="s">
        <v>530</v>
      </c>
      <c r="D139" s="4">
        <v>33.0</v>
      </c>
      <c r="I139" s="16">
        <f t="shared" si="4"/>
        <v>3</v>
      </c>
    </row>
    <row r="140" ht="22.5" customHeight="1">
      <c r="A140" s="6" t="s">
        <v>531</v>
      </c>
      <c r="B140" s="6" t="s">
        <v>525</v>
      </c>
      <c r="C140" s="5" t="s">
        <v>532</v>
      </c>
      <c r="D140" s="4">
        <v>33.0</v>
      </c>
      <c r="I140" s="16">
        <f t="shared" si="4"/>
        <v>4</v>
      </c>
    </row>
    <row r="141" ht="22.5" customHeight="1">
      <c r="A141" s="6" t="s">
        <v>533</v>
      </c>
      <c r="B141" s="6" t="s">
        <v>525</v>
      </c>
      <c r="C141" s="5" t="s">
        <v>534</v>
      </c>
      <c r="D141" s="4">
        <v>33.0</v>
      </c>
      <c r="I141" s="16">
        <f t="shared" si="4"/>
        <v>5</v>
      </c>
    </row>
    <row r="142" ht="22.5" customHeight="1">
      <c r="A142" s="6" t="s">
        <v>535</v>
      </c>
      <c r="B142" s="6" t="s">
        <v>525</v>
      </c>
      <c r="C142" s="5" t="s">
        <v>536</v>
      </c>
      <c r="D142" s="4">
        <v>33.0</v>
      </c>
      <c r="I142" s="16">
        <f t="shared" si="4"/>
        <v>6</v>
      </c>
    </row>
    <row r="143" ht="22.5" customHeight="1">
      <c r="A143" s="6" t="s">
        <v>537</v>
      </c>
      <c r="B143" s="6" t="s">
        <v>525</v>
      </c>
      <c r="C143" s="5" t="s">
        <v>538</v>
      </c>
      <c r="D143" s="4">
        <v>33.0</v>
      </c>
      <c r="I143" s="16">
        <f t="shared" si="4"/>
        <v>7</v>
      </c>
    </row>
    <row r="144" ht="22.5" customHeight="1">
      <c r="A144" s="6" t="s">
        <v>539</v>
      </c>
      <c r="B144" s="6" t="s">
        <v>525</v>
      </c>
      <c r="C144" s="5" t="s">
        <v>540</v>
      </c>
      <c r="D144" s="4">
        <v>33.0</v>
      </c>
      <c r="I144" s="16">
        <f t="shared" si="4"/>
        <v>8</v>
      </c>
    </row>
    <row r="145" ht="22.5" customHeight="1">
      <c r="A145" s="6" t="s">
        <v>541</v>
      </c>
      <c r="B145" s="6" t="s">
        <v>525</v>
      </c>
      <c r="C145" s="5" t="s">
        <v>542</v>
      </c>
      <c r="D145" s="4">
        <v>33.0</v>
      </c>
      <c r="I145" s="16">
        <f t="shared" si="4"/>
        <v>9</v>
      </c>
    </row>
    <row r="146" ht="22.5" customHeight="1">
      <c r="A146" s="6" t="s">
        <v>543</v>
      </c>
      <c r="B146" s="6" t="s">
        <v>525</v>
      </c>
      <c r="C146" s="5" t="s">
        <v>544</v>
      </c>
      <c r="D146" s="4">
        <v>33.0</v>
      </c>
      <c r="I146" s="16">
        <f t="shared" si="4"/>
        <v>10</v>
      </c>
    </row>
    <row r="147" ht="22.5" customHeight="1">
      <c r="A147" s="6" t="s">
        <v>545</v>
      </c>
      <c r="B147" s="6" t="s">
        <v>525</v>
      </c>
      <c r="C147" s="5" t="s">
        <v>546</v>
      </c>
      <c r="D147" s="4">
        <v>33.0</v>
      </c>
      <c r="I147" s="16">
        <f t="shared" si="4"/>
        <v>11</v>
      </c>
    </row>
    <row r="148" ht="22.5" customHeight="1">
      <c r="A148" s="6" t="s">
        <v>547</v>
      </c>
      <c r="B148" s="6" t="s">
        <v>525</v>
      </c>
      <c r="C148" s="5" t="s">
        <v>548</v>
      </c>
      <c r="D148" s="4">
        <v>33.0</v>
      </c>
      <c r="I148" s="16">
        <f t="shared" si="4"/>
        <v>12</v>
      </c>
    </row>
    <row r="149" ht="22.5" customHeight="1">
      <c r="A149" s="6" t="s">
        <v>549</v>
      </c>
      <c r="B149" s="6" t="s">
        <v>525</v>
      </c>
      <c r="C149" s="5" t="s">
        <v>550</v>
      </c>
      <c r="D149" s="4">
        <v>33.0</v>
      </c>
      <c r="I149" s="16">
        <f t="shared" si="4"/>
        <v>13</v>
      </c>
    </row>
    <row r="150" ht="22.5" customHeight="1">
      <c r="A150" s="6" t="s">
        <v>551</v>
      </c>
      <c r="B150" s="6" t="s">
        <v>525</v>
      </c>
      <c r="C150" s="5" t="s">
        <v>552</v>
      </c>
      <c r="D150" s="4">
        <v>33.0</v>
      </c>
      <c r="I150" s="16">
        <f t="shared" si="4"/>
        <v>14</v>
      </c>
    </row>
    <row r="151" ht="22.5" customHeight="1">
      <c r="A151" s="6" t="s">
        <v>553</v>
      </c>
      <c r="B151" s="6" t="s">
        <v>525</v>
      </c>
      <c r="C151" s="5" t="s">
        <v>554</v>
      </c>
      <c r="D151" s="4">
        <v>33.0</v>
      </c>
      <c r="I151" s="16">
        <f t="shared" si="4"/>
        <v>15</v>
      </c>
    </row>
    <row r="152" ht="22.5" customHeight="1">
      <c r="A152" s="6" t="s">
        <v>555</v>
      </c>
      <c r="B152" s="6" t="s">
        <v>525</v>
      </c>
      <c r="C152" s="5" t="s">
        <v>556</v>
      </c>
      <c r="D152" s="4">
        <v>33.0</v>
      </c>
      <c r="I152" s="16">
        <f t="shared" si="4"/>
        <v>16</v>
      </c>
    </row>
    <row r="153" ht="22.5" customHeight="1">
      <c r="A153" s="6" t="s">
        <v>557</v>
      </c>
      <c r="B153" s="6" t="s">
        <v>525</v>
      </c>
      <c r="C153" s="5" t="s">
        <v>558</v>
      </c>
      <c r="D153" s="4">
        <v>33.0</v>
      </c>
      <c r="I153" s="16">
        <f t="shared" si="4"/>
        <v>17</v>
      </c>
    </row>
    <row r="154" ht="22.5" customHeight="1">
      <c r="A154" s="6" t="s">
        <v>559</v>
      </c>
      <c r="B154" s="6" t="s">
        <v>525</v>
      </c>
      <c r="C154" s="5" t="s">
        <v>560</v>
      </c>
      <c r="D154" s="4">
        <v>33.0</v>
      </c>
      <c r="I154" s="16">
        <f t="shared" si="4"/>
        <v>18</v>
      </c>
    </row>
    <row r="155" ht="22.5" customHeight="1">
      <c r="A155" s="6" t="s">
        <v>561</v>
      </c>
      <c r="B155" s="6" t="s">
        <v>525</v>
      </c>
      <c r="C155" s="5" t="s">
        <v>562</v>
      </c>
      <c r="D155" s="4">
        <v>33.0</v>
      </c>
      <c r="I155" s="16">
        <f t="shared" si="4"/>
        <v>19</v>
      </c>
    </row>
    <row r="156" ht="22.5" customHeight="1">
      <c r="A156" s="6" t="s">
        <v>563</v>
      </c>
      <c r="B156" s="6" t="s">
        <v>525</v>
      </c>
      <c r="C156" s="5" t="s">
        <v>564</v>
      </c>
      <c r="D156" s="4">
        <v>33.0</v>
      </c>
      <c r="I156" s="16">
        <f t="shared" si="4"/>
        <v>20</v>
      </c>
    </row>
    <row r="157" ht="22.5" customHeight="1">
      <c r="A157" s="6" t="s">
        <v>565</v>
      </c>
      <c r="B157" s="6" t="s">
        <v>525</v>
      </c>
      <c r="C157" s="5" t="s">
        <v>566</v>
      </c>
      <c r="D157" s="4">
        <v>33.0</v>
      </c>
      <c r="I157" s="16">
        <f t="shared" si="4"/>
        <v>21</v>
      </c>
    </row>
    <row r="158" ht="22.5" customHeight="1">
      <c r="A158" s="6" t="s">
        <v>567</v>
      </c>
      <c r="B158" s="6" t="s">
        <v>525</v>
      </c>
      <c r="C158" s="5" t="s">
        <v>568</v>
      </c>
      <c r="D158" s="4">
        <v>33.0</v>
      </c>
      <c r="I158" s="16">
        <f t="shared" si="4"/>
        <v>22</v>
      </c>
    </row>
    <row r="159" ht="22.5" customHeight="1">
      <c r="A159" s="6" t="s">
        <v>569</v>
      </c>
      <c r="B159" s="6" t="s">
        <v>525</v>
      </c>
      <c r="C159" s="5" t="s">
        <v>570</v>
      </c>
      <c r="D159" s="4">
        <v>33.0</v>
      </c>
      <c r="I159" s="16">
        <f t="shared" si="4"/>
        <v>23</v>
      </c>
    </row>
    <row r="160" ht="22.5" customHeight="1">
      <c r="A160" s="6" t="s">
        <v>571</v>
      </c>
      <c r="B160" s="6" t="s">
        <v>525</v>
      </c>
      <c r="C160" s="5" t="s">
        <v>572</v>
      </c>
      <c r="D160" s="4">
        <v>33.0</v>
      </c>
      <c r="I160" s="16">
        <f t="shared" si="4"/>
        <v>24</v>
      </c>
    </row>
    <row r="161" ht="22.5" customHeight="1">
      <c r="A161" s="6" t="s">
        <v>573</v>
      </c>
      <c r="B161" s="6" t="s">
        <v>574</v>
      </c>
      <c r="C161" s="5" t="s">
        <v>575</v>
      </c>
      <c r="D161" s="19">
        <v>25.0</v>
      </c>
    </row>
    <row r="162" ht="22.5" customHeight="1">
      <c r="A162" s="6" t="s">
        <v>576</v>
      </c>
      <c r="B162" s="6" t="s">
        <v>574</v>
      </c>
      <c r="C162" s="5" t="s">
        <v>577</v>
      </c>
      <c r="D162" s="19">
        <v>25.0</v>
      </c>
    </row>
    <row r="163" ht="22.5" customHeight="1">
      <c r="A163" s="6" t="s">
        <v>578</v>
      </c>
      <c r="B163" s="6" t="s">
        <v>574</v>
      </c>
      <c r="C163" s="5" t="s">
        <v>579</v>
      </c>
      <c r="D163" s="4">
        <v>25.0</v>
      </c>
    </row>
    <row r="164" ht="22.5" customHeight="1">
      <c r="A164" s="6" t="s">
        <v>580</v>
      </c>
      <c r="B164" s="6" t="s">
        <v>574</v>
      </c>
      <c r="C164" s="5" t="s">
        <v>581</v>
      </c>
      <c r="D164" s="4">
        <v>25.0</v>
      </c>
    </row>
    <row r="165" ht="22.5" customHeight="1">
      <c r="A165" s="6" t="s">
        <v>582</v>
      </c>
      <c r="B165" s="6" t="s">
        <v>583</v>
      </c>
      <c r="C165" s="5" t="s">
        <v>584</v>
      </c>
      <c r="D165" s="4" t="s">
        <v>585</v>
      </c>
      <c r="G165" s="13"/>
      <c r="H165" s="13"/>
      <c r="I165" s="13"/>
      <c r="J165" s="13">
        <v>1.0</v>
      </c>
    </row>
    <row r="166" ht="22.5" customHeight="1">
      <c r="A166" s="6" t="s">
        <v>586</v>
      </c>
      <c r="B166" s="6" t="s">
        <v>583</v>
      </c>
      <c r="C166" s="5" t="s">
        <v>587</v>
      </c>
      <c r="D166" s="4" t="s">
        <v>585</v>
      </c>
      <c r="J166" s="16">
        <f t="shared" ref="J166:J192" si="5">J165+1</f>
        <v>2</v>
      </c>
    </row>
    <row r="167" ht="22.5" customHeight="1">
      <c r="A167" s="6" t="s">
        <v>588</v>
      </c>
      <c r="B167" s="6" t="s">
        <v>583</v>
      </c>
      <c r="C167" s="5" t="s">
        <v>589</v>
      </c>
      <c r="D167" s="4" t="s">
        <v>585</v>
      </c>
      <c r="J167" s="16">
        <f t="shared" si="5"/>
        <v>3</v>
      </c>
    </row>
    <row r="168" ht="22.5" customHeight="1">
      <c r="A168" s="6" t="s">
        <v>590</v>
      </c>
      <c r="B168" s="6" t="s">
        <v>583</v>
      </c>
      <c r="C168" s="5" t="s">
        <v>591</v>
      </c>
      <c r="D168" s="4" t="s">
        <v>585</v>
      </c>
      <c r="J168" s="16">
        <f t="shared" si="5"/>
        <v>4</v>
      </c>
    </row>
    <row r="169" ht="22.5" customHeight="1">
      <c r="A169" s="6" t="s">
        <v>592</v>
      </c>
      <c r="B169" s="6" t="s">
        <v>583</v>
      </c>
      <c r="C169" s="5" t="s">
        <v>593</v>
      </c>
      <c r="D169" s="4" t="s">
        <v>585</v>
      </c>
      <c r="J169" s="16">
        <f t="shared" si="5"/>
        <v>5</v>
      </c>
    </row>
    <row r="170" ht="22.5" customHeight="1">
      <c r="A170" s="6" t="s">
        <v>594</v>
      </c>
      <c r="B170" s="6" t="s">
        <v>583</v>
      </c>
      <c r="C170" s="5" t="s">
        <v>595</v>
      </c>
      <c r="D170" s="4" t="s">
        <v>585</v>
      </c>
      <c r="J170" s="16">
        <f t="shared" si="5"/>
        <v>6</v>
      </c>
    </row>
    <row r="171" ht="22.5" customHeight="1">
      <c r="A171" s="6" t="s">
        <v>596</v>
      </c>
      <c r="B171" s="6" t="s">
        <v>583</v>
      </c>
      <c r="C171" s="5" t="s">
        <v>597</v>
      </c>
      <c r="D171" s="4" t="s">
        <v>585</v>
      </c>
      <c r="J171" s="16">
        <f t="shared" si="5"/>
        <v>7</v>
      </c>
    </row>
    <row r="172" ht="22.5" customHeight="1">
      <c r="A172" s="6" t="s">
        <v>598</v>
      </c>
      <c r="B172" s="6" t="s">
        <v>583</v>
      </c>
      <c r="C172" s="5" t="s">
        <v>599</v>
      </c>
      <c r="D172" s="4" t="s">
        <v>585</v>
      </c>
      <c r="J172" s="16">
        <f t="shared" si="5"/>
        <v>8</v>
      </c>
    </row>
    <row r="173" ht="22.5" customHeight="1">
      <c r="A173" s="6" t="s">
        <v>600</v>
      </c>
      <c r="B173" s="6" t="s">
        <v>583</v>
      </c>
      <c r="C173" s="5" t="s">
        <v>601</v>
      </c>
      <c r="D173" s="4" t="s">
        <v>585</v>
      </c>
      <c r="J173" s="16">
        <f t="shared" si="5"/>
        <v>9</v>
      </c>
    </row>
    <row r="174" ht="22.5" customHeight="1">
      <c r="A174" s="6" t="s">
        <v>602</v>
      </c>
      <c r="B174" s="6" t="s">
        <v>583</v>
      </c>
      <c r="C174" s="5" t="s">
        <v>603</v>
      </c>
      <c r="D174" s="4" t="s">
        <v>585</v>
      </c>
      <c r="J174" s="16">
        <f t="shared" si="5"/>
        <v>10</v>
      </c>
    </row>
    <row r="175" ht="22.5" customHeight="1">
      <c r="A175" s="6" t="s">
        <v>604</v>
      </c>
      <c r="B175" s="6" t="s">
        <v>583</v>
      </c>
      <c r="C175" s="5" t="s">
        <v>605</v>
      </c>
      <c r="D175" s="4" t="s">
        <v>585</v>
      </c>
      <c r="J175" s="16">
        <f t="shared" si="5"/>
        <v>11</v>
      </c>
    </row>
    <row r="176" ht="22.5" customHeight="1">
      <c r="A176" s="6" t="s">
        <v>606</v>
      </c>
      <c r="B176" s="6" t="s">
        <v>583</v>
      </c>
      <c r="C176" s="5" t="s">
        <v>607</v>
      </c>
      <c r="D176" s="4" t="s">
        <v>585</v>
      </c>
      <c r="J176" s="16">
        <f t="shared" si="5"/>
        <v>12</v>
      </c>
    </row>
    <row r="177" ht="22.5" customHeight="1">
      <c r="A177" s="6" t="s">
        <v>608</v>
      </c>
      <c r="B177" s="6" t="s">
        <v>583</v>
      </c>
      <c r="C177" s="5" t="s">
        <v>609</v>
      </c>
      <c r="D177" s="4" t="s">
        <v>585</v>
      </c>
      <c r="J177" s="16">
        <f t="shared" si="5"/>
        <v>13</v>
      </c>
    </row>
    <row r="178" ht="22.5" customHeight="1">
      <c r="A178" s="6" t="s">
        <v>610</v>
      </c>
      <c r="B178" s="6" t="s">
        <v>583</v>
      </c>
      <c r="C178" s="5" t="s">
        <v>611</v>
      </c>
      <c r="D178" s="4" t="s">
        <v>585</v>
      </c>
      <c r="J178" s="16">
        <f t="shared" si="5"/>
        <v>14</v>
      </c>
    </row>
    <row r="179" ht="22.5" customHeight="1">
      <c r="A179" s="6" t="s">
        <v>612</v>
      </c>
      <c r="B179" s="6" t="s">
        <v>583</v>
      </c>
      <c r="C179" s="5" t="s">
        <v>613</v>
      </c>
      <c r="D179" s="4" t="s">
        <v>585</v>
      </c>
      <c r="J179" s="16">
        <f t="shared" si="5"/>
        <v>15</v>
      </c>
    </row>
    <row r="180" ht="22.5" customHeight="1">
      <c r="A180" s="6" t="s">
        <v>614</v>
      </c>
      <c r="B180" s="6" t="s">
        <v>583</v>
      </c>
      <c r="C180" s="5" t="s">
        <v>615</v>
      </c>
      <c r="D180" s="4" t="s">
        <v>585</v>
      </c>
      <c r="J180" s="16">
        <f t="shared" si="5"/>
        <v>16</v>
      </c>
    </row>
    <row r="181" ht="22.5" customHeight="1">
      <c r="A181" s="6" t="s">
        <v>616</v>
      </c>
      <c r="B181" s="6" t="s">
        <v>583</v>
      </c>
      <c r="C181" s="5" t="s">
        <v>617</v>
      </c>
      <c r="D181" s="4" t="s">
        <v>585</v>
      </c>
      <c r="J181" s="16">
        <f t="shared" si="5"/>
        <v>17</v>
      </c>
    </row>
    <row r="182" ht="22.5" customHeight="1">
      <c r="A182" s="6" t="s">
        <v>618</v>
      </c>
      <c r="B182" s="6" t="s">
        <v>583</v>
      </c>
      <c r="C182" s="5" t="s">
        <v>619</v>
      </c>
      <c r="D182" s="4" t="s">
        <v>585</v>
      </c>
      <c r="J182" s="16">
        <f t="shared" si="5"/>
        <v>18</v>
      </c>
    </row>
    <row r="183" ht="22.5" customHeight="1">
      <c r="A183" s="6" t="s">
        <v>620</v>
      </c>
      <c r="B183" s="6" t="s">
        <v>583</v>
      </c>
      <c r="C183" s="5" t="s">
        <v>621</v>
      </c>
      <c r="D183" s="4" t="s">
        <v>585</v>
      </c>
      <c r="J183" s="16">
        <f t="shared" si="5"/>
        <v>19</v>
      </c>
    </row>
    <row r="184" ht="22.5" customHeight="1">
      <c r="A184" s="6" t="s">
        <v>622</v>
      </c>
      <c r="B184" s="6" t="s">
        <v>583</v>
      </c>
      <c r="C184" s="5" t="s">
        <v>623</v>
      </c>
      <c r="D184" s="4" t="s">
        <v>585</v>
      </c>
      <c r="J184" s="16">
        <f t="shared" si="5"/>
        <v>20</v>
      </c>
    </row>
    <row r="185" ht="22.5" customHeight="1">
      <c r="A185" s="6" t="s">
        <v>624</v>
      </c>
      <c r="B185" s="6" t="s">
        <v>583</v>
      </c>
      <c r="C185" s="5" t="s">
        <v>625</v>
      </c>
      <c r="D185" s="4" t="s">
        <v>585</v>
      </c>
      <c r="J185" s="16">
        <f t="shared" si="5"/>
        <v>21</v>
      </c>
    </row>
    <row r="186" ht="22.5" customHeight="1">
      <c r="A186" s="6" t="s">
        <v>626</v>
      </c>
      <c r="B186" s="6" t="s">
        <v>583</v>
      </c>
      <c r="C186" s="5" t="s">
        <v>627</v>
      </c>
      <c r="D186" s="4" t="s">
        <v>585</v>
      </c>
      <c r="J186" s="16">
        <f t="shared" si="5"/>
        <v>22</v>
      </c>
    </row>
    <row r="187" ht="22.5" customHeight="1">
      <c r="A187" s="6" t="s">
        <v>628</v>
      </c>
      <c r="B187" s="6" t="s">
        <v>583</v>
      </c>
      <c r="C187" s="5" t="s">
        <v>629</v>
      </c>
      <c r="D187" s="4" t="s">
        <v>585</v>
      </c>
      <c r="J187" s="16">
        <f t="shared" si="5"/>
        <v>23</v>
      </c>
    </row>
    <row r="188" ht="22.5" customHeight="1">
      <c r="A188" s="6" t="s">
        <v>630</v>
      </c>
      <c r="B188" s="6" t="s">
        <v>583</v>
      </c>
      <c r="C188" s="5" t="s">
        <v>631</v>
      </c>
      <c r="D188" s="4" t="s">
        <v>585</v>
      </c>
      <c r="J188" s="16">
        <f t="shared" si="5"/>
        <v>24</v>
      </c>
    </row>
    <row r="189" ht="22.5" customHeight="1">
      <c r="A189" s="6" t="s">
        <v>632</v>
      </c>
      <c r="B189" s="6" t="s">
        <v>583</v>
      </c>
      <c r="C189" s="5" t="s">
        <v>633</v>
      </c>
      <c r="D189" s="4" t="s">
        <v>585</v>
      </c>
      <c r="J189" s="16">
        <f t="shared" si="5"/>
        <v>25</v>
      </c>
    </row>
    <row r="190" ht="22.5" customHeight="1">
      <c r="A190" s="6" t="s">
        <v>634</v>
      </c>
      <c r="B190" s="6" t="s">
        <v>583</v>
      </c>
      <c r="C190" s="5" t="s">
        <v>635</v>
      </c>
      <c r="D190" s="4" t="s">
        <v>585</v>
      </c>
      <c r="J190" s="16">
        <f t="shared" si="5"/>
        <v>26</v>
      </c>
    </row>
    <row r="191" ht="22.5" customHeight="1">
      <c r="A191" s="6" t="s">
        <v>636</v>
      </c>
      <c r="B191" s="6" t="s">
        <v>583</v>
      </c>
      <c r="C191" s="5" t="s">
        <v>637</v>
      </c>
      <c r="D191" s="4" t="s">
        <v>585</v>
      </c>
      <c r="J191" s="16">
        <f t="shared" si="5"/>
        <v>27</v>
      </c>
    </row>
    <row r="192" ht="22.5" customHeight="1">
      <c r="A192" s="6" t="s">
        <v>638</v>
      </c>
      <c r="B192" s="6" t="s">
        <v>583</v>
      </c>
      <c r="C192" s="5" t="s">
        <v>639</v>
      </c>
      <c r="D192" s="4" t="s">
        <v>585</v>
      </c>
      <c r="J192" s="16">
        <f t="shared" si="5"/>
        <v>28</v>
      </c>
    </row>
    <row r="193" ht="22.5" customHeight="1">
      <c r="A193" s="6" t="s">
        <v>640</v>
      </c>
      <c r="B193" s="6" t="s">
        <v>641</v>
      </c>
      <c r="C193" s="5" t="s">
        <v>642</v>
      </c>
      <c r="D193" s="4">
        <v>33.0</v>
      </c>
      <c r="G193" s="13"/>
      <c r="H193" s="13"/>
      <c r="I193" s="13"/>
      <c r="J193" s="13"/>
      <c r="K193" s="13">
        <v>1.0</v>
      </c>
    </row>
    <row r="194" ht="22.5" customHeight="1">
      <c r="A194" s="6" t="s">
        <v>643</v>
      </c>
      <c r="B194" s="6" t="s">
        <v>641</v>
      </c>
      <c r="C194" s="5" t="s">
        <v>644</v>
      </c>
      <c r="D194" s="4">
        <v>33.0</v>
      </c>
      <c r="K194" s="16">
        <f t="shared" ref="K194:K214" si="6">K193+1</f>
        <v>2</v>
      </c>
    </row>
    <row r="195" ht="22.5" customHeight="1">
      <c r="A195" s="6" t="s">
        <v>645</v>
      </c>
      <c r="B195" s="6" t="s">
        <v>641</v>
      </c>
      <c r="C195" s="5" t="s">
        <v>646</v>
      </c>
      <c r="D195" s="4">
        <v>33.0</v>
      </c>
      <c r="K195" s="16">
        <f t="shared" si="6"/>
        <v>3</v>
      </c>
    </row>
    <row r="196" ht="22.5" customHeight="1">
      <c r="A196" s="6" t="s">
        <v>647</v>
      </c>
      <c r="B196" s="6" t="s">
        <v>641</v>
      </c>
      <c r="C196" s="5" t="s">
        <v>648</v>
      </c>
      <c r="D196" s="4">
        <v>33.0</v>
      </c>
      <c r="K196" s="16">
        <f t="shared" si="6"/>
        <v>4</v>
      </c>
    </row>
    <row r="197" ht="22.5" customHeight="1">
      <c r="A197" s="6" t="s">
        <v>649</v>
      </c>
      <c r="B197" s="6" t="s">
        <v>641</v>
      </c>
      <c r="C197" s="5" t="s">
        <v>650</v>
      </c>
      <c r="D197" s="4">
        <v>33.0</v>
      </c>
      <c r="K197" s="16">
        <f t="shared" si="6"/>
        <v>5</v>
      </c>
    </row>
    <row r="198" ht="22.5" customHeight="1">
      <c r="A198" s="6" t="s">
        <v>651</v>
      </c>
      <c r="B198" s="6" t="s">
        <v>641</v>
      </c>
      <c r="C198" s="5" t="s">
        <v>652</v>
      </c>
      <c r="D198" s="4">
        <v>33.0</v>
      </c>
      <c r="K198" s="16">
        <f t="shared" si="6"/>
        <v>6</v>
      </c>
    </row>
    <row r="199" ht="22.5" customHeight="1">
      <c r="A199" s="6" t="s">
        <v>653</v>
      </c>
      <c r="B199" s="6" t="s">
        <v>641</v>
      </c>
      <c r="C199" s="5" t="s">
        <v>654</v>
      </c>
      <c r="D199" s="4">
        <v>33.0</v>
      </c>
      <c r="K199" s="16">
        <f t="shared" si="6"/>
        <v>7</v>
      </c>
    </row>
    <row r="200" ht="22.5" customHeight="1">
      <c r="A200" s="6" t="s">
        <v>655</v>
      </c>
      <c r="B200" s="6" t="s">
        <v>641</v>
      </c>
      <c r="C200" s="5" t="s">
        <v>656</v>
      </c>
      <c r="D200" s="4">
        <v>33.0</v>
      </c>
      <c r="K200" s="16">
        <f t="shared" si="6"/>
        <v>8</v>
      </c>
    </row>
    <row r="201" ht="22.5" customHeight="1">
      <c r="A201" s="6" t="s">
        <v>657</v>
      </c>
      <c r="B201" s="6" t="s">
        <v>641</v>
      </c>
      <c r="C201" s="5" t="s">
        <v>658</v>
      </c>
      <c r="D201" s="4">
        <v>33.0</v>
      </c>
      <c r="K201" s="16">
        <f t="shared" si="6"/>
        <v>9</v>
      </c>
    </row>
    <row r="202" ht="22.5" customHeight="1">
      <c r="A202" s="6" t="s">
        <v>659</v>
      </c>
      <c r="B202" s="6" t="s">
        <v>641</v>
      </c>
      <c r="C202" s="5" t="s">
        <v>660</v>
      </c>
      <c r="D202" s="4">
        <v>33.0</v>
      </c>
      <c r="K202" s="16">
        <f t="shared" si="6"/>
        <v>10</v>
      </c>
    </row>
    <row r="203" ht="22.5" customHeight="1">
      <c r="A203" s="6" t="s">
        <v>661</v>
      </c>
      <c r="B203" s="6" t="s">
        <v>641</v>
      </c>
      <c r="C203" s="5" t="s">
        <v>662</v>
      </c>
      <c r="D203" s="4">
        <v>33.0</v>
      </c>
      <c r="K203" s="16">
        <f t="shared" si="6"/>
        <v>11</v>
      </c>
    </row>
    <row r="204" ht="22.5" customHeight="1">
      <c r="A204" s="6" t="s">
        <v>663</v>
      </c>
      <c r="B204" s="6" t="s">
        <v>641</v>
      </c>
      <c r="C204" s="5" t="s">
        <v>664</v>
      </c>
      <c r="D204" s="4">
        <v>33.0</v>
      </c>
      <c r="K204" s="16">
        <f t="shared" si="6"/>
        <v>12</v>
      </c>
    </row>
    <row r="205" ht="22.5" customHeight="1">
      <c r="A205" s="6" t="s">
        <v>665</v>
      </c>
      <c r="B205" s="6" t="s">
        <v>641</v>
      </c>
      <c r="C205" s="5" t="s">
        <v>666</v>
      </c>
      <c r="D205" s="4">
        <v>33.0</v>
      </c>
      <c r="K205" s="16">
        <f t="shared" si="6"/>
        <v>13</v>
      </c>
    </row>
    <row r="206" ht="22.5" customHeight="1">
      <c r="A206" s="6" t="s">
        <v>667</v>
      </c>
      <c r="B206" s="6" t="s">
        <v>641</v>
      </c>
      <c r="C206" s="5" t="s">
        <v>668</v>
      </c>
      <c r="D206" s="4">
        <v>33.0</v>
      </c>
      <c r="K206" s="16">
        <f t="shared" si="6"/>
        <v>14</v>
      </c>
    </row>
    <row r="207" ht="22.5" customHeight="1">
      <c r="A207" s="6" t="s">
        <v>669</v>
      </c>
      <c r="B207" s="6" t="s">
        <v>641</v>
      </c>
      <c r="C207" s="5" t="s">
        <v>670</v>
      </c>
      <c r="D207" s="4">
        <v>33.0</v>
      </c>
      <c r="K207" s="16">
        <f t="shared" si="6"/>
        <v>15</v>
      </c>
    </row>
    <row r="208" ht="22.5" customHeight="1">
      <c r="A208" s="6" t="s">
        <v>671</v>
      </c>
      <c r="B208" s="6" t="s">
        <v>641</v>
      </c>
      <c r="C208" s="5" t="s">
        <v>672</v>
      </c>
      <c r="D208" s="4">
        <v>33.0</v>
      </c>
      <c r="K208" s="16">
        <f t="shared" si="6"/>
        <v>16</v>
      </c>
    </row>
    <row r="209" ht="22.5" customHeight="1">
      <c r="A209" s="6" t="s">
        <v>673</v>
      </c>
      <c r="B209" s="6" t="s">
        <v>641</v>
      </c>
      <c r="C209" s="5" t="s">
        <v>674</v>
      </c>
      <c r="D209" s="4">
        <v>33.0</v>
      </c>
      <c r="K209" s="16">
        <f t="shared" si="6"/>
        <v>17</v>
      </c>
    </row>
    <row r="210" ht="22.5" customHeight="1">
      <c r="A210" s="6" t="s">
        <v>675</v>
      </c>
      <c r="B210" s="6" t="s">
        <v>641</v>
      </c>
      <c r="C210" s="5" t="s">
        <v>676</v>
      </c>
      <c r="D210" s="4">
        <v>33.0</v>
      </c>
      <c r="K210" s="16">
        <f t="shared" si="6"/>
        <v>18</v>
      </c>
    </row>
    <row r="211" ht="22.5" customHeight="1">
      <c r="A211" s="6" t="s">
        <v>677</v>
      </c>
      <c r="B211" s="6" t="s">
        <v>641</v>
      </c>
      <c r="C211" s="5" t="s">
        <v>678</v>
      </c>
      <c r="D211" s="4">
        <v>33.0</v>
      </c>
      <c r="K211" s="16">
        <f t="shared" si="6"/>
        <v>19</v>
      </c>
    </row>
    <row r="212" ht="22.5" customHeight="1">
      <c r="A212" s="6" t="s">
        <v>679</v>
      </c>
      <c r="B212" s="6" t="s">
        <v>641</v>
      </c>
      <c r="C212" s="5" t="s">
        <v>680</v>
      </c>
      <c r="D212" s="4">
        <v>33.0</v>
      </c>
      <c r="K212" s="16">
        <f t="shared" si="6"/>
        <v>20</v>
      </c>
    </row>
    <row r="213" ht="22.5" customHeight="1">
      <c r="A213" s="6" t="s">
        <v>681</v>
      </c>
      <c r="B213" s="6" t="s">
        <v>641</v>
      </c>
      <c r="C213" s="5" t="s">
        <v>682</v>
      </c>
      <c r="D213" s="4">
        <v>33.0</v>
      </c>
      <c r="K213" s="16">
        <f t="shared" si="6"/>
        <v>21</v>
      </c>
    </row>
    <row r="214" ht="22.5" customHeight="1">
      <c r="A214" s="6" t="s">
        <v>683</v>
      </c>
      <c r="B214" s="6" t="s">
        <v>641</v>
      </c>
      <c r="C214" s="5" t="s">
        <v>684</v>
      </c>
      <c r="D214" s="4">
        <v>33.0</v>
      </c>
      <c r="K214" s="16">
        <f t="shared" si="6"/>
        <v>22</v>
      </c>
    </row>
  </sheetData>
  <dataValidations>
    <dataValidation type="list" allowBlank="1" sqref="B3:B214">
      <formula1>"Bank1,Bank7,Bank5,---,Bank2,Bank4,Bank0,Bank6"</formula1>
    </dataValidation>
    <dataValidation type="list" allowBlank="1" showDropDown="1" showErrorMessage="1" sqref="A3:A214">
      <formula1>"A19,A20,B19,C1,C2,C19,C20,D2,D18,D20,P3,P2,U1,U3,U7,U9,V1,V3,V7,V9,Y2,Y4,Y6,Y8,W2,W4,W6,W8,U17,E1,E2,E3,E5,E16,E17,E18,F1,F3,F4,F5,F6,F7,F15,F16,F18,F20,G1,G2,G3,G4,G6,G16,G17,G18,G19,H4,H5,H6,H16,H17,H19,J7,J17,J18,J20,K15,K16,K20,L15,L16,L19,L20,M17,M19"&amp;",N15,N16,N19,N20,P15,P18,P19,P20,R12,R13,R15,R16,R17,R18,R20,T13,T14,T15,T18,T19,U11,T20,U12,U13,U14,U18,U19,V11,V12,V14,V15,V19,V20,W10,W12,W13,W14,W15,Y10,Y11,Y12,Y13,Y15,Y16,A1,A3,A4,A5,A6,A8,A9,A10,A11,A13,A14,A15,A18,A16,B1,B3,B6,B4,B7,B8,B9,B11,B12,"&amp;"B13,B14,B16,B17,B18,C4,C5,C6,C7,C9,C10,C11,C12,C14,C15,C16,C17,D3,D4,D5,D7,D8,D9,D10,D12,D13,D14,D15,D17,E6,E7,E8,E10,E11,E12,E13,E15,F8,F9,F11,F13,H1,H2,J2,J3,J4,J5,J6,K1,K2,K3,K5,K7,K6,L1,L3,L4,L5,L6,L7,M1,M3,M2,M6,M4,M7,N1,N2,N4,R2,R1"</formula1>
    </dataValidation>
    <dataValidation type="custom" allowBlank="1" showDropDown="1" sqref="D3:D214">
      <formula1>AND(ISNUMBER(D3),(NOT(OR(NOT(ISERROR(DATEVALUE(D3))), AND(ISNUMBER(D3), LEFT(CELL("format", D3))="D")))))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3" t="s">
        <v>685</v>
      </c>
    </row>
    <row r="4">
      <c r="B4" s="13" t="s">
        <v>686</v>
      </c>
      <c r="C4" s="13" t="s">
        <v>687</v>
      </c>
      <c r="D4" s="13" t="s">
        <v>688</v>
      </c>
      <c r="E4" s="21" t="s">
        <v>689</v>
      </c>
      <c r="F4" s="13" t="s">
        <v>690</v>
      </c>
      <c r="G4" s="21" t="s">
        <v>691</v>
      </c>
      <c r="H4" s="13" t="s">
        <v>692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</cols>
  <sheetData>
    <row r="7">
      <c r="B7" s="13" t="s">
        <v>219</v>
      </c>
      <c r="C7" s="13" t="s">
        <v>220</v>
      </c>
    </row>
    <row r="8">
      <c r="B8" s="13" t="s">
        <v>216</v>
      </c>
      <c r="C8" s="13" t="s">
        <v>222</v>
      </c>
    </row>
    <row r="9">
      <c r="B9" s="13" t="s">
        <v>218</v>
      </c>
      <c r="C9" s="13" t="s">
        <v>223</v>
      </c>
    </row>
    <row r="10">
      <c r="B10" s="13" t="s">
        <v>221</v>
      </c>
      <c r="C10" s="13" t="s">
        <v>226</v>
      </c>
    </row>
    <row r="11">
      <c r="B11" s="13" t="s">
        <v>228</v>
      </c>
      <c r="C11" s="13" t="s">
        <v>234</v>
      </c>
    </row>
    <row r="12">
      <c r="B12" s="13" t="s">
        <v>230</v>
      </c>
      <c r="C12" s="13" t="s">
        <v>236</v>
      </c>
    </row>
    <row r="13">
      <c r="B13" s="13" t="s">
        <v>232</v>
      </c>
      <c r="C13" s="13" t="s">
        <v>238</v>
      </c>
    </row>
    <row r="14">
      <c r="B14" s="13" t="s">
        <v>231</v>
      </c>
      <c r="C14" s="13" t="s">
        <v>239</v>
      </c>
    </row>
  </sheetData>
  <drawing r:id="rId1"/>
</worksheet>
</file>